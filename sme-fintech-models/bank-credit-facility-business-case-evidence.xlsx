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ster" sheetId="1" state="visible" r:id="rId1"/>
    <sheet xmlns:r="http://schemas.openxmlformats.org/officeDocument/2006/relationships" name="2 Customers" sheetId="2" state="visible" r:id="rId2"/>
    <sheet xmlns:r="http://schemas.openxmlformats.org/officeDocument/2006/relationships" name="3 HR" sheetId="3" state="visible" r:id="rId3"/>
    <sheet xmlns:r="http://schemas.openxmlformats.org/officeDocument/2006/relationships" name="4 Depreciation" sheetId="4" state="visible" r:id="rId4"/>
    <sheet xmlns:r="http://schemas.openxmlformats.org/officeDocument/2006/relationships" name="5 Running" sheetId="5" state="visible" r:id="rId5"/>
    <sheet xmlns:r="http://schemas.openxmlformats.org/officeDocument/2006/relationships" name="6 Start-up" sheetId="6" state="visible" r:id="rId6"/>
    <sheet xmlns:r="http://schemas.openxmlformats.org/officeDocument/2006/relationships" name="7 Returns" sheetId="7" state="visible" r:id="rId7"/>
    <sheet xmlns:r="http://schemas.openxmlformats.org/officeDocument/2006/relationships" name="8 Tax" sheetId="8" state="visible" r:id="rId8"/>
    <sheet xmlns:r="http://schemas.openxmlformats.org/officeDocument/2006/relationships" name="9 Unit costs" sheetId="9" state="visible" r:id="rId9"/>
    <sheet xmlns:r="http://schemas.openxmlformats.org/officeDocument/2006/relationships" name="10 Pricing" sheetId="10" state="visible" r:id="rId10"/>
    <sheet xmlns:r="http://schemas.openxmlformats.org/officeDocument/2006/relationships" name="11 Unit P&amp;L" sheetId="11" state="visible" r:id="rId11"/>
    <sheet xmlns:r="http://schemas.openxmlformats.org/officeDocument/2006/relationships" name="12 Venture P&amp;L" sheetId="12" state="visible" r:id="rId12"/>
    <sheet xmlns:r="http://schemas.openxmlformats.org/officeDocument/2006/relationships" name="13 Sales" sheetId="13" state="visible" r:id="rId13"/>
    <sheet xmlns:r="http://schemas.openxmlformats.org/officeDocument/2006/relationships" name="14 Cash flow" sheetId="14" state="visible" r:id="rId14"/>
    <sheet xmlns:r="http://schemas.openxmlformats.org/officeDocument/2006/relationships" name="15 Roll-out" sheetId="15" state="visible" r:id="rId15"/>
    <sheet xmlns:r="http://schemas.openxmlformats.org/officeDocument/2006/relationships" name="16 Forecast P&amp;L" sheetId="16" state="visible" r:id="rId16"/>
    <sheet xmlns:r="http://schemas.openxmlformats.org/officeDocument/2006/relationships" name="17 Forecast cash flow" sheetId="17" state="visible" r:id="rId17"/>
    <sheet xmlns:r="http://schemas.openxmlformats.org/officeDocument/2006/relationships" name="18 Forecast balance sheet" sheetId="18" state="visible" r:id="rId18"/>
    <sheet xmlns:r="http://schemas.openxmlformats.org/officeDocument/2006/relationships" name="19 Check" sheetId="19" state="visible" r:id="rId19"/>
  </sheets>
  <definedNames>
    <definedName name="scenario">'1 Master'!$B$4</definedName>
    <definedName name="tam">'2 Customers'!$B$5</definedName>
    <definedName name="units">'2 Customers'!$B$6</definedName>
    <definedName name="customers_per_unit">'2 Customers'!$B$9</definedName>
    <definedName name="transactions_per_unit">'2 Customers'!$B$10</definedName>
    <definedName name="transactions_venture">'2 Customers'!$B$11</definedName>
    <definedName name="revenue_per_unit">'2 Customers'!$E$15</definedName>
    <definedName name="cogs_per_unit">'2 Customers'!$G$15</definedName>
    <definedName name="headcount_per_unit">'3 HR'!$D$20</definedName>
    <definedName name="hr_cost_per_unit">'3 HR'!$F$20</definedName>
    <definedName name="line_ho_role_limit_engine_and_data_team">'3 HR'!$D$24</definedName>
    <definedName name="line_ho_role_model_risk">'3 HR'!$D$25</definedName>
    <definedName name="line_ho_role_product">'3 HR'!$D$26</definedName>
    <definedName name="ho_staff_cost">'3 HR'!$D$27</definedName>
    <definedName name="capital_per_unit">'4 Depreciation'!$F$5</definedName>
    <definedName name="depreciation_per_unit">'4 Depreciation'!$G$5</definedName>
    <definedName name="capital_head_office">'4 Depreciation'!$F$8</definedName>
    <definedName name="depreciation_head_office">'4 Depreciation'!$G$8</definedName>
    <definedName name="line_running_expected_credit_loss_on_the_drawn_balance">'5 Running'!$C$5</definedName>
    <definedName name="line_running_computing_and_payments_in_the_account_line">'5 Running'!$C$6</definedName>
    <definedName name="line_running_write_off_administration_and_legal">'5 Running'!$C$7</definedName>
    <definedName name="line_running_cell_tooling_case_system_and_telephony">'5 Running'!$C$8</definedName>
    <definedName name="line_running_shared_trainer">'5 Running'!$C$9</definedName>
    <definedName name="running_per_unit">'5 Running'!$E$10</definedName>
    <definedName name="line_ho_running_technology_run_the_limit_engine">'5 Running'!$C$15</definedName>
    <definedName name="line_ho_running_fraud_monitoring_on_funded_events">'5 Running'!$C$16</definedName>
    <definedName name="line_ho_running_other_head_office_people_the_all_people_total_less_the_named_teams">'5 Running'!$C$17</definedName>
    <definedName name="line_ho_running_standby_securitisation_route_annual_upkeep">'5 Running'!$C$18</definedName>
    <definedName name="line_ho_running_reserve_against_the_assumed_head_office_count">'5 Running'!$C$19</definedName>
    <definedName name="running_head_office">'5 Running'!$E$20</definedName>
    <definedName name="startup_per_unit">'6 Start-up'!$B$7</definedName>
    <definedName name="startup_charge_per_unit">'6 Start-up'!$B$9</definedName>
    <definedName name="line_development_stage_0_back_test_on_the_bank_s_own_account_history">'6 Start-up'!$B$12</definedName>
    <definedName name="line_development_outcome_ledger_build">'6 Start-up'!$B$13</definedName>
    <definedName name="line_development_seasoning_schedule_build">'6 Start-up'!$B$14</definedName>
    <definedName name="line_development_credit_line_element_build_and_conformance_test">'6 Start-up'!$B$15</definedName>
    <definedName name="line_development_funding_term">'6 Start-up'!$B$16</definedName>
    <definedName name="line_development_migration_notices_to_the_accounts_moving_to_the_levelled_line">'6 Start-up'!$B$17</definedName>
    <definedName name="line_development_stage_readings_at_each_release_gate">'6 Start-up'!$B$18</definedName>
    <definedName name="line_development_standby_securitisation_route_documentation_and_set_up">'6 Start-up'!$B$19</definedName>
    <definedName name="line_development_carrying_cost_of_the_pool_overlays_during_release">'6 Start-up'!$B$20</definedName>
    <definedName name="development_head_office">'6 Start-up'!$B$21</definedName>
    <definedName name="development_charge_per_month">'6 Start-up'!$B$22</definedName>
    <definedName name="book_per_unit">'7 Returns'!$B$4</definedName>
    <definedName name="book_capital_per_unit">'7 Returns'!$B$5</definedName>
    <definedName name="returns_per_unit">'7 Returns'!$B$8</definedName>
    <definedName name="returns_head_office">'7 Returns'!$B$10</definedName>
    <definedName name="book_at_scale">'7 Returns'!$B$11</definedName>
    <definedName name="book_capital_at_scale">'7 Returns'!$B$12</definedName>
    <definedName name="tax_per_unit">'8 Tax'!$B$5</definedName>
    <definedName name="tax_head_office">'8 Tax'!$B$6</definedName>
    <definedName name="unit_own_cost">'9 Unit costs'!$B$12</definedName>
    <definedName name="ho_costs">'9 Unit costs'!$B$13</definedName>
    <definedName name="ho_total">'9 Unit costs'!$B$15</definedName>
    <definedName name="ho_allocated_per_unit">'9 Unit costs'!$B$16</definedName>
    <definedName name="whole_cost_per_unit">'9 Unit costs'!$B$17</definedName>
    <definedName name="cost_per_transaction">'9 Unit costs'!$B$18</definedName>
    <definedName name="margin_of_safety">'10 Pricing'!$B$6</definedName>
    <definedName name="interim_price">'10 Pricing'!$B$5</definedName>
    <definedName name="verdict">'10 Pricing'!$B$8</definedName>
    <definedName name="required_price">'10 Pricing'!$B$9</definedName>
    <definedName name="price_uplift_to_target">'10 Pricing'!$B$10</definedName>
    <definedName name="margin_from_failure">'10 Pricing'!$B$11</definedName>
    <definedName name="price_fall_to_floor">'10 Pricing'!$B$12</definedName>
    <definedName name="required_price_product_1">'10 Pricing'!$C$15</definedName>
    <definedName name="binding_input">'10 Pricing'!$B$54</definedName>
    <definedName name="margin_of_safety_worst_corner">'10 Pricing'!$B$55</definedName>
    <definedName name="unit_surplus">'11 Unit P&amp;L'!$B$17</definedName>
    <definedName name="unit_surplus_at_required">'11 Unit P&amp;L'!$C$17</definedName>
    <definedName name="venture_surplus_per_month">'12 Venture P&amp;L'!$D$20</definedName>
    <definedName name="venture_surplus_per_year">'12 Venture P&amp;L'!$D$21</definedName>
    <definedName name="venture_revenue_per_month">'12 Venture P&amp;L'!$D$5</definedName>
    <definedName name="year1_sales">'13 Sales'!$N$12</definedName>
    <definedName name="year1_volume">'13 Sales'!$N$14</definedName>
    <definedName name="loan_repayment_per_month">'14 Cash flow'!$B$7</definedName>
    <definedName name="lowest_closing_balance">'14 Cash flow'!$B$29</definedName>
    <definedName name="lowest_closing_balance_stress">'14 Cash flow'!$B$30</definedName>
    <definedName name="closing_balance_month12">'14 Cash flow'!$B$31</definedName>
    <definedName name="cash_needed">'14 Cash flow'!$B$32</definedName>
    <definedName name="cash_needed_stress">'14 Cash flow'!$B$33</definedName>
    <definedName name="in_forecast_units_open_year_1">'15 Roll-out'!$B$5</definedName>
    <definedName name="in_forecast_head_office_share_year_1">'15 Roll-out'!$B$8</definedName>
    <definedName name="in_forecast_equity_raised_year_1">'15 Roll-out'!$B$9</definedName>
    <definedName name="forecast_loan_book_year_1">'15 Roll-out'!$B$11</definedName>
    <definedName name="in_forecast_units_open_year_2">'15 Roll-out'!$C$5</definedName>
    <definedName name="in_forecast_head_office_share_year_2">'15 Roll-out'!$C$8</definedName>
    <definedName name="in_forecast_equity_raised_year_2">'15 Roll-out'!$C$9</definedName>
    <definedName name="forecast_loan_book_year_2">'15 Roll-out'!$C$11</definedName>
    <definedName name="in_forecast_units_open_year_3">'15 Roll-out'!$D$5</definedName>
    <definedName name="in_forecast_head_office_share_year_3">'15 Roll-out'!$D$8</definedName>
    <definedName name="in_forecast_equity_raised_year_3">'15 Roll-out'!$D$9</definedName>
    <definedName name="forecast_loan_book_year_3">'15 Roll-out'!$D$11</definedName>
    <definedName name="in_forecast_units_open_year_4">'15 Roll-out'!$E$5</definedName>
    <definedName name="in_forecast_head_office_share_year_4">'15 Roll-out'!$E$8</definedName>
    <definedName name="in_forecast_equity_raised_year_4">'15 Roll-out'!$E$9</definedName>
    <definedName name="forecast_loan_book_year_4">'15 Roll-out'!$E$11</definedName>
    <definedName name="in_forecast_units_open_year_5">'15 Roll-out'!$F$5</definedName>
    <definedName name="in_forecast_head_office_share_year_5">'15 Roll-out'!$F$8</definedName>
    <definedName name="in_forecast_equity_raised_year_5">'15 Roll-out'!$F$9</definedName>
    <definedName name="forecast_loan_book_year_5">'15 Roll-out'!$F$11</definedName>
    <definedName name="forecast_revenue_year_1">'16 Forecast P&amp;L'!$B$5</definedName>
    <definedName name="forecast_operating_profit_year_1">'16 Forecast P&amp;L'!$B$15</definedName>
    <definedName name="forecast_profit_after_tax_year_1">'16 Forecast P&amp;L'!$B$22</definedName>
    <definedName name="forecast_revenue_year_2">'16 Forecast P&amp;L'!$C$5</definedName>
    <definedName name="forecast_operating_profit_year_2">'16 Forecast P&amp;L'!$C$15</definedName>
    <definedName name="forecast_profit_after_tax_year_2">'16 Forecast P&amp;L'!$C$22</definedName>
    <definedName name="forecast_revenue_year_3">'16 Forecast P&amp;L'!$D$5</definedName>
    <definedName name="forecast_operating_profit_year_3">'16 Forecast P&amp;L'!$D$15</definedName>
    <definedName name="forecast_profit_after_tax_year_3">'16 Forecast P&amp;L'!$D$22</definedName>
    <definedName name="forecast_revenue_year_4">'16 Forecast P&amp;L'!$E$5</definedName>
    <definedName name="forecast_operating_profit_year_4">'16 Forecast P&amp;L'!$E$15</definedName>
    <definedName name="forecast_profit_after_tax_year_4">'16 Forecast P&amp;L'!$E$22</definedName>
    <definedName name="forecast_revenue_year_5">'16 Forecast P&amp;L'!$F$5</definedName>
    <definedName name="forecast_operating_profit_year_5">'16 Forecast P&amp;L'!$F$15</definedName>
    <definedName name="forecast_profit_after_tax_year_5">'16 Forecast P&amp;L'!$F$22</definedName>
    <definedName name="forecast_revenue_total">'16 Forecast P&amp;L'!$G$5</definedName>
    <definedName name="forecast_operating_profit_total">'16 Forecast P&amp;L'!$G$15</definedName>
    <definedName name="forecast_profit_after_tax_total">'16 Forecast P&amp;L'!$G$22</definedName>
    <definedName name="forecast_closing_cash_year_1">'17 Forecast cash flow'!$B$22</definedName>
    <definedName name="forecast_closing_cash_year_2">'17 Forecast cash flow'!$C$22</definedName>
    <definedName name="forecast_closing_cash_year_3">'17 Forecast cash flow'!$D$22</definedName>
    <definedName name="forecast_closing_cash_year_4">'17 Forecast cash flow'!$E$22</definedName>
    <definedName name="forecast_closing_cash_year_5">'17 Forecast cash flow'!$F$22</definedName>
    <definedName name="forecast_lowest_closing_cash">'17 Forecast cash flow'!$B$24</definedName>
    <definedName name="forecast_funding_needed">'17 Forecast cash flow'!$B$25</definedName>
    <definedName name="forecast_net_assets_year_1">'18 Forecast balance sheet'!$B$13</definedName>
    <definedName name="forecast_loan_outstanding_year_1">'18 Forecast balance sheet'!$B$9</definedName>
    <definedName name="forecast_deposits_year_1">'18 Forecast balance sheet'!$B$11</definedName>
    <definedName name="forecast_book_capital_year_1">'18 Forecast balance sheet'!$B$17</definedName>
    <definedName name="forecast_net_assets_year_2">'18 Forecast balance sheet'!$C$13</definedName>
    <definedName name="forecast_loan_outstanding_year_2">'18 Forecast balance sheet'!$C$9</definedName>
    <definedName name="forecast_deposits_year_2">'18 Forecast balance sheet'!$C$11</definedName>
    <definedName name="forecast_book_capital_year_2">'18 Forecast balance sheet'!$C$17</definedName>
    <definedName name="forecast_net_assets_year_3">'18 Forecast balance sheet'!$D$13</definedName>
    <definedName name="forecast_loan_outstanding_year_3">'18 Forecast balance sheet'!$D$9</definedName>
    <definedName name="forecast_deposits_year_3">'18 Forecast balance sheet'!$D$11</definedName>
    <definedName name="forecast_book_capital_year_3">'18 Forecast balance sheet'!$D$17</definedName>
    <definedName name="forecast_net_assets_year_4">'18 Forecast balance sheet'!$E$13</definedName>
    <definedName name="forecast_loan_outstanding_year_4">'18 Forecast balance sheet'!$E$9</definedName>
    <definedName name="forecast_deposits_year_4">'18 Forecast balance sheet'!$E$11</definedName>
    <definedName name="forecast_book_capital_year_4">'18 Forecast balance sheet'!$E$17</definedName>
    <definedName name="forecast_net_assets_year_5">'18 Forecast balance sheet'!$F$13</definedName>
    <definedName name="forecast_loan_outstanding_year_5">'18 Forecast balance sheet'!$F$9</definedName>
    <definedName name="forecast_deposits_year_5">'18 Forecast balance sheet'!$F$11</definedName>
    <definedName name="forecast_book_capital_year_5">'18 Forecast balance sheet'!$F$17</definedName>
    <definedName name="all_checks">'19 Check'!$D$17</definedName>
  </definedNames>
  <calcPr calcId="124519" fullCalcOnLoad="1"/>
</workbook>
</file>

<file path=xl/styles.xml><?xml version="1.0" encoding="utf-8"?>
<styleSheet xmlns="http://schemas.openxmlformats.org/spreadsheetml/2006/main">
  <numFmts count="7">
    <numFmt numFmtId="164" formatCode="#,##0.####"/>
    <numFmt numFmtId="165" formatCode="0.0%"/>
    <numFmt numFmtId="166" formatCode="#,##0.00;[Red]-#,##0.00"/>
    <numFmt numFmtId="167" formatCode="#,##0;[Red]-#,##0"/>
    <numFmt numFmtId="168" formatCode="#,##0.0"/>
    <numFmt numFmtId="169" formatCode="#,##0.##"/>
    <numFmt numFmtId="170" formatCode="#,##0.0000"/>
  </numFmts>
  <fonts count="6">
    <font>
      <name val="Calibri"/>
      <family val="2"/>
      <color theme="1"/>
      <sz val="11"/>
      <scheme val="minor"/>
    </font>
    <font>
      <b val="1"/>
      <sz val="14"/>
    </font>
    <font>
      <i val="1"/>
      <color rgb="00718096"/>
    </font>
    <font>
      <b val="1"/>
    </font>
    <font>
      <color rgb="001F4FA8"/>
    </font>
    <font>
      <b val="1"/>
      <color rgb="00FFFFFF"/>
    </font>
  </fonts>
  <fills count="3">
    <fill>
      <patternFill/>
    </fill>
    <fill>
      <patternFill patternType="gray125"/>
    </fill>
    <fill>
      <patternFill patternType="solid">
        <fgColor rgb="000F2744"/>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top" wrapText="1"/>
    </xf>
    <xf numFmtId="164" fontId="0" fillId="0" borderId="0" pivotButton="0" quotePrefix="0" xfId="0"/>
    <xf numFmtId="164"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166" fontId="0" fillId="0" borderId="0" pivotButton="0" quotePrefix="0" xfId="0"/>
    <xf numFmtId="166" fontId="4" fillId="0" borderId="0" pivotButton="0" quotePrefix="0" xfId="0"/>
    <xf numFmtId="3" fontId="0" fillId="0" borderId="0" pivotButton="0" quotePrefix="0" xfId="0"/>
    <xf numFmtId="167" fontId="0" fillId="0" borderId="0" pivotButton="0" quotePrefix="0" xfId="0"/>
    <xf numFmtId="3" fontId="3" fillId="0" borderId="0" pivotButton="0" quotePrefix="0" xfId="0"/>
    <xf numFmtId="167" fontId="3" fillId="0" borderId="0" pivotButton="0" quotePrefix="0" xfId="0"/>
    <xf numFmtId="168" fontId="0" fillId="0" borderId="0" pivotButton="0" quotePrefix="0" xfId="0"/>
    <xf numFmtId="167" fontId="4" fillId="0" borderId="0" pivotButton="0" quotePrefix="0" xfId="0"/>
    <xf numFmtId="166" fontId="3" fillId="0" borderId="0" pivotButton="0" quotePrefix="0" xfId="0"/>
    <xf numFmtId="165" fontId="3" fillId="0" borderId="0" pivotButton="0" quotePrefix="0" xfId="0"/>
    <xf numFmtId="169" fontId="4" fillId="0" borderId="0" pivotButton="0" quotePrefix="0" xfId="0"/>
    <xf numFmtId="4"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2" customWidth="1" min="6" max="6"/>
    <col width="6" customWidth="1" min="7" max="7"/>
    <col width="60" customWidth="1" min="8" max="8"/>
    <col width="10" customWidth="1" min="9" max="9"/>
    <col width="30" customWidth="1" min="10" max="10"/>
  </cols>
  <sheetData>
    <row r="1">
      <c r="A1" s="1" t="inlineStr">
        <is>
          <t>Credit facility line — Case B — Master Control of variables and assumed values</t>
        </is>
      </c>
    </row>
    <row r="2">
      <c r="A2" s="2" t="inlineStr">
        <is>
          <t>Blue cells are inputs. Change them here only; every other tab is formulas. Scenario 1 = base, 2 = low end of every band, 3 = high end.</t>
        </is>
      </c>
    </row>
    <row r="4">
      <c r="A4" s="3" t="inlineStr">
        <is>
          <t>Scenario (1 base · 2 low · 3 high)</t>
        </is>
      </c>
      <c r="B4" s="4" t="n">
        <v>1</v>
      </c>
    </row>
    <row r="6">
      <c r="A6" s="5" t="inlineStr">
        <is>
          <t>Variable</t>
        </is>
      </c>
      <c r="B6" s="5" t="inlineStr">
        <is>
          <t>Active value</t>
        </is>
      </c>
      <c r="C6" s="5" t="inlineStr">
        <is>
          <t>Base</t>
        </is>
      </c>
      <c r="D6" s="5" t="inlineStr">
        <is>
          <t>Low</t>
        </is>
      </c>
      <c r="E6" s="5" t="inlineStr">
        <is>
          <t>High</t>
        </is>
      </c>
      <c r="F6" s="5" t="inlineStr">
        <is>
          <t>Unit</t>
        </is>
      </c>
      <c r="G6" s="5" t="inlineStr">
        <is>
          <t>Tier</t>
        </is>
      </c>
      <c r="H6" s="5" t="inlineStr">
        <is>
          <t>Source</t>
        </is>
      </c>
      <c r="I6" s="5" t="inlineStr">
        <is>
          <t>Adverse end</t>
        </is>
      </c>
      <c r="J6" s="5" t="inlineStr">
        <is>
          <t>Key</t>
        </is>
      </c>
    </row>
    <row r="7">
      <c r="A7" t="inlineStr">
        <is>
          <t>Reachable population (whole venture)</t>
        </is>
      </c>
      <c r="B7" s="6">
        <f>CHOOSE('1 Master'!$B$4,C7,D7,E7)</f>
        <v/>
      </c>
      <c r="C7" s="7" t="n">
        <v>950000</v>
      </c>
      <c r="D7" s="7" t="n">
        <v>850000</v>
      </c>
      <c r="E7" s="7" t="n">
        <v>1050000</v>
      </c>
      <c r="F7" t="inlineStr">
        <is>
          <t>business current accounts</t>
        </is>
      </c>
      <c r="G7" t="n">
        <v>4</v>
      </c>
      <c r="H7" s="8" t="inlineStr">
        <is>
          <t>⚠ AOM v10 §0 — accounts on the levelled line after migration; a public-source estimate of the bank's SME account base</t>
        </is>
      </c>
      <c r="I7" t="inlineStr">
        <is>
          <t>low</t>
        </is>
      </c>
      <c r="J7" s="2" t="inlineStr">
        <is>
          <t>market.total_reachable_population</t>
        </is>
      </c>
    </row>
    <row r="8">
      <c r="A8" t="inlineStr">
        <is>
          <t>Share of reachable population that is not viable</t>
        </is>
      </c>
      <c r="B8" s="9">
        <f>CHOOSE('1 Master'!$B$4,C8,D8,E8)</f>
        <v/>
      </c>
      <c r="C8" s="10" t="n">
        <v>0.2</v>
      </c>
      <c r="D8" s="10" t="n">
        <v>0.15</v>
      </c>
      <c r="E8" s="10" t="n">
        <v>0.25</v>
      </c>
      <c r="F8" t="inlineStr">
        <is>
          <t>share</t>
        </is>
      </c>
      <c r="G8" t="n">
        <v>4</v>
      </c>
      <c r="H8" s="8" t="inlineStr">
        <is>
          <t>⚠ assumed — accounts with no observed flow, so no limit can be computed (C1 record, the flow-coverage input)</t>
        </is>
      </c>
      <c r="I8" t="inlineStr">
        <is>
          <t>high</t>
        </is>
      </c>
      <c r="J8" s="2" t="inlineStr">
        <is>
          <t>market.non_viable_share</t>
        </is>
      </c>
    </row>
    <row r="9">
      <c r="A9" t="inlineStr">
        <is>
          <t>Reachable population one operating unit serves</t>
        </is>
      </c>
      <c r="B9" s="6">
        <f>CHOOSE('1 Master'!$B$4,C9,D9,E9)</f>
        <v/>
      </c>
      <c r="C9" s="7" t="n">
        <v>316667</v>
      </c>
      <c r="D9" s="7" t="n">
        <v>316667</v>
      </c>
      <c r="E9" s="7" t="n">
        <v>316667</v>
      </c>
      <c r="F9" t="inlineStr">
        <is>
          <t>accounts</t>
        </is>
      </c>
      <c r="G9" t="n">
        <v>4</v>
      </c>
      <c r="H9" s="8" t="inlineStr">
        <is>
          <t>⚠ AOM v10 §3b — one cell per ⚠ 333,000 accounts; 950,000 ÷ 3 cells</t>
        </is>
      </c>
      <c r="I9" t="inlineStr">
        <is>
          <t>low</t>
        </is>
      </c>
      <c r="J9" s="2" t="inlineStr">
        <is>
          <t>market.unit_population</t>
        </is>
      </c>
    </row>
    <row r="10">
      <c r="A10" t="inlineStr">
        <is>
          <t>Steady-state penetration of the unit's viable population</t>
        </is>
      </c>
      <c r="B10" s="9">
        <f>CHOOSE('1 Master'!$B$4,C10,D10,E10)</f>
        <v/>
      </c>
      <c r="C10" s="10" t="n">
        <v>0.3</v>
      </c>
      <c r="D10" s="10" t="n">
        <v>0.3</v>
      </c>
      <c r="E10" s="10" t="n">
        <v>0.3</v>
      </c>
      <c r="F10" t="inlineStr">
        <is>
          <t>share</t>
        </is>
      </c>
      <c r="G10" t="n">
        <v>4</v>
      </c>
      <c r="H10" s="8" t="inlineStr">
        <is>
          <t>⚠ AOM v10 §0 — drawn accounts as a share of accounts with a limit (228,000 of 760,000); the balance band below carries the uncertainty</t>
        </is>
      </c>
      <c r="I10" t="inlineStr">
        <is>
          <t>low</t>
        </is>
      </c>
      <c r="J10" s="2" t="inlineStr">
        <is>
          <t>market.penetration_steady_state</t>
        </is>
      </c>
    </row>
    <row r="11">
      <c r="A11" t="inlineStr">
        <is>
          <t>Transactions per customer per month</t>
        </is>
      </c>
      <c r="B11" s="6">
        <f>CHOOSE('1 Master'!$B$4,C11,D11,E11)</f>
        <v/>
      </c>
      <c r="C11" s="7" t="n">
        <v>20</v>
      </c>
      <c r="D11" s="7" t="n">
        <v>15</v>
      </c>
      <c r="E11" s="7" t="n">
        <v>25</v>
      </c>
      <c r="F11" t="inlineStr">
        <is>
          <t>£ thousands of average drawn balance per drawn account</t>
        </is>
      </c>
      <c r="G11" t="n">
        <v>4</v>
      </c>
      <c r="H11" s="8" t="inlineStr">
        <is>
          <t>⚠ AOM v10 §0 — average drawn balance £15–25k per drawn account; book £3.4–5.7bn</t>
        </is>
      </c>
      <c r="I11" t="inlineStr">
        <is>
          <t>low</t>
        </is>
      </c>
      <c r="J11" s="2" t="inlineStr">
        <is>
          <t>market.transactions_per_customer_per_month</t>
        </is>
      </c>
    </row>
    <row r="12">
      <c r="A12" t="inlineStr">
        <is>
          <t>Drawn balance, per £1,000 carried for one month — share of transactions</t>
        </is>
      </c>
      <c r="B12" s="6">
        <f>CHOOSE('1 Master'!$B$4,C12,D12,E12)</f>
        <v/>
      </c>
      <c r="C12" s="7" t="n">
        <v>1</v>
      </c>
      <c r="D12" s="7" t="n">
        <v>1</v>
      </c>
      <c r="E12" s="7" t="n">
        <v>1</v>
      </c>
      <c r="F12" t="inlineStr"/>
      <c r="G12" t="inlineStr"/>
      <c r="H12" s="8" t="inlineStr"/>
      <c r="I12" t="inlineStr"/>
      <c r="J12" s="2" t="inlineStr">
        <is>
          <t>product.0.share</t>
        </is>
      </c>
    </row>
    <row r="13">
      <c r="A13" t="inlineStr">
        <is>
          <t>Drawn balance, per £1,000 carried for one month — price</t>
        </is>
      </c>
      <c r="B13" s="11">
        <f>CHOOSE('1 Master'!$B$4,C13,D13,E13)</f>
        <v/>
      </c>
      <c r="C13" s="12" t="n">
        <v>11.6667</v>
      </c>
      <c r="D13" s="12" t="n">
        <v>11.25</v>
      </c>
      <c r="E13" s="12" t="n">
        <v>11.875</v>
      </c>
      <c r="F13" t="inlineStr">
        <is>
          <t>GBP</t>
        </is>
      </c>
      <c r="G13" t="n">
        <v>3</v>
      </c>
      <c r="H13" s="8" t="inlineStr">
        <is>
          <t>C6 record — 14.0% simple on the daily drawn balance = £140 per £1,000 a year (band ⚠ 135–142.5), no fee; ÷ 12</t>
        </is>
      </c>
      <c r="I13" t="inlineStr">
        <is>
          <t>low</t>
        </is>
      </c>
      <c r="J13" s="2" t="inlineStr">
        <is>
          <t>product.0.price</t>
        </is>
      </c>
    </row>
    <row r="14">
      <c r="A14" t="inlineStr">
        <is>
          <t>Drawn balance, per £1,000 carried for one month — cost of goods per transaction</t>
        </is>
      </c>
      <c r="B14" s="11">
        <f>CHOOSE('1 Master'!$B$4,C14,D14,E14)</f>
        <v/>
      </c>
      <c r="C14" s="12" t="n">
        <v>1.875</v>
      </c>
      <c r="D14" s="12" t="n">
        <v>1.25</v>
      </c>
      <c r="E14" s="12" t="n">
        <v>2.5</v>
      </c>
      <c r="F14" t="inlineStr">
        <is>
          <t>GBP</t>
        </is>
      </c>
      <c r="G14" t="n">
        <v>4</v>
      </c>
      <c r="H14" s="8" t="inlineStr">
        <is>
          <t>⚠ C10 record — funding at the measured deposit cost 1.5–3.0% a year on the drawn balance (£15–30 per £1,000); ÷ 12</t>
        </is>
      </c>
      <c r="I14" t="inlineStr">
        <is>
          <t>high</t>
        </is>
      </c>
      <c r="J14" s="2" t="inlineStr">
        <is>
          <t>product.0.cogs</t>
        </is>
      </c>
    </row>
    <row r="15">
      <c r="A15" t="inlineStr">
        <is>
          <t>Available hours per person per month</t>
        </is>
      </c>
      <c r="B15" s="6">
        <f>CHOOSE('1 Master'!$B$4,C15,D15,E15)</f>
        <v/>
      </c>
      <c r="C15" s="7" t="n">
        <v>125</v>
      </c>
      <c r="D15" s="7" t="n">
        <v>116.7</v>
      </c>
      <c r="E15" s="7" t="n">
        <v>133.3</v>
      </c>
      <c r="F15" t="inlineStr">
        <is>
          <t>hours</t>
        </is>
      </c>
      <c r="G15" t="n">
        <v>4</v>
      </c>
      <c r="H15" s="8" t="inlineStr">
        <is>
          <t>⚠ AOM v10 §3b — 1,400–1,600 productive hours a year per handler; ÷ 12</t>
        </is>
      </c>
      <c r="I15" t="inlineStr">
        <is>
          <t>low</t>
        </is>
      </c>
      <c r="J15" s="2" t="inlineStr">
        <is>
          <t>hr.available_hours</t>
        </is>
      </c>
    </row>
    <row r="16">
      <c r="A16" t="inlineStr">
        <is>
          <t>Exception handler — monthly cost per person</t>
        </is>
      </c>
      <c r="B16" s="6">
        <f>CHOOSE('1 Master'!$B$4,C16,D16,E16)</f>
        <v/>
      </c>
      <c r="C16" s="7" t="n">
        <v>4792</v>
      </c>
      <c r="D16" s="7" t="n">
        <v>4167</v>
      </c>
      <c r="E16" s="7" t="n">
        <v>5417</v>
      </c>
      <c r="F16" t="inlineStr">
        <is>
          <t>GBP</t>
        </is>
      </c>
      <c r="G16" t="n">
        <v>4</v>
      </c>
      <c r="H16" s="8" t="inlineStr">
        <is>
          <t>⚠ AOM v10 §3b — handlers £50–65k a year all-in; ÷ 12</t>
        </is>
      </c>
      <c r="I16" t="inlineStr">
        <is>
          <t>high</t>
        </is>
      </c>
      <c r="J16" s="2" t="inlineStr">
        <is>
          <t>role.Exception handler.monthly_cost</t>
        </is>
      </c>
    </row>
    <row r="17">
      <c r="A17" t="inlineStr">
        <is>
          <t>Cell lead — monthly cost per person</t>
        </is>
      </c>
      <c r="B17" s="6">
        <f>CHOOSE('1 Master'!$B$4,C17,D17,E17)</f>
        <v/>
      </c>
      <c r="C17" s="7" t="n">
        <v>6667</v>
      </c>
      <c r="D17" s="7" t="n">
        <v>5833</v>
      </c>
      <c r="E17" s="7" t="n">
        <v>7500</v>
      </c>
      <c r="F17" t="inlineStr">
        <is>
          <t>GBP</t>
        </is>
      </c>
      <c r="G17" t="n">
        <v>4</v>
      </c>
      <c r="H17" s="8" t="inlineStr">
        <is>
          <t>⚠ AOM v10 §3b — leads £70–90k a year all-in; ÷ 12</t>
        </is>
      </c>
      <c r="I17" t="inlineStr">
        <is>
          <t>high</t>
        </is>
      </c>
      <c r="J17" s="2" t="inlineStr">
        <is>
          <t>role.Cell lead.monthly_cost</t>
        </is>
      </c>
    </row>
    <row r="18">
      <c r="A18" t="inlineStr">
        <is>
          <t>Head office — Limit engine and data team — monthly cost per person</t>
        </is>
      </c>
      <c r="B18" s="6">
        <f>CHOOSE('1 Master'!$B$4,C18,D18,E18)</f>
        <v/>
      </c>
      <c r="C18" s="7" t="n">
        <v>11667</v>
      </c>
      <c r="D18" s="7" t="n">
        <v>10000</v>
      </c>
      <c r="E18" s="7" t="n">
        <v>13333</v>
      </c>
      <c r="F18" t="inlineStr">
        <is>
          <t>GBP</t>
        </is>
      </c>
      <c r="G18" t="n">
        <v>4</v>
      </c>
      <c r="H18" s="8" t="inlineStr">
        <is>
          <t>⚠ AOM v10 §3c — 25 people, £3–4m a year; per person per month</t>
        </is>
      </c>
      <c r="I18" t="inlineStr">
        <is>
          <t>high</t>
        </is>
      </c>
      <c r="J18" s="2" t="inlineStr">
        <is>
          <t>ho_role.limit_engine_and_data_team.monthly_cost</t>
        </is>
      </c>
    </row>
    <row r="19">
      <c r="A19" t="inlineStr">
        <is>
          <t>Head office — Model risk — monthly cost per person</t>
        </is>
      </c>
      <c r="B19" s="6">
        <f>CHOOSE('1 Master'!$B$4,C19,D19,E19)</f>
        <v/>
      </c>
      <c r="C19" s="7" t="n">
        <v>14583</v>
      </c>
      <c r="D19" s="7" t="n">
        <v>12500</v>
      </c>
      <c r="E19" s="7" t="n">
        <v>16667</v>
      </c>
      <c r="F19" t="inlineStr">
        <is>
          <t>GBP</t>
        </is>
      </c>
      <c r="G19" t="n">
        <v>4</v>
      </c>
      <c r="H19" s="8" t="inlineStr">
        <is>
          <t>⚠ AOM v10 §3c — 10 people, £1.5–2m a year; per person per month</t>
        </is>
      </c>
      <c r="I19" t="inlineStr">
        <is>
          <t>high</t>
        </is>
      </c>
      <c r="J19" s="2" t="inlineStr">
        <is>
          <t>ho_role.model_risk.monthly_cost</t>
        </is>
      </c>
    </row>
    <row r="20">
      <c r="A20" t="inlineStr">
        <is>
          <t>Head office — Product — monthly cost per person</t>
        </is>
      </c>
      <c r="B20" s="6">
        <f>CHOOSE('1 Master'!$B$4,C20,D20,E20)</f>
        <v/>
      </c>
      <c r="C20" s="7" t="n">
        <v>10417</v>
      </c>
      <c r="D20" s="7" t="n">
        <v>8333</v>
      </c>
      <c r="E20" s="7" t="n">
        <v>12500</v>
      </c>
      <c r="F20" t="inlineStr">
        <is>
          <t>GBP</t>
        </is>
      </c>
      <c r="G20" t="n">
        <v>4</v>
      </c>
      <c r="H20" s="8" t="inlineStr">
        <is>
          <t>⚠ AOM v10 §3c — 13 people, £1.3–1.95m a year; per person per month</t>
        </is>
      </c>
      <c r="I20" t="inlineStr">
        <is>
          <t>high</t>
        </is>
      </c>
      <c r="J20" s="2" t="inlineStr">
        <is>
          <t>ho_role.product.monthly_cost</t>
        </is>
      </c>
    </row>
    <row r="21">
      <c r="A21" t="inlineStr">
        <is>
          <t>Running cost, operating unit — Expected credit loss on the drawn balance</t>
        </is>
      </c>
      <c r="B21" s="11">
        <f>CHOOSE('1 Master'!$B$4,C21,D21,E21)</f>
        <v/>
      </c>
      <c r="C21" s="12" t="n">
        <v>2.5</v>
      </c>
      <c r="D21" s="12" t="n">
        <v>1.6667</v>
      </c>
      <c r="E21" s="12" t="n">
        <v>3.3333</v>
      </c>
      <c r="F21" t="inlineStr">
        <is>
          <t>GBP</t>
        </is>
      </c>
      <c r="G21" t="n">
        <v>4</v>
      </c>
      <c r="H21" s="8" t="inlineStr">
        <is>
          <t>⚠ C1 record — loss rate on the flow-underwritten pool 2–4% a year (£20–40 per £1,000); ÷ 12; unmeasured until Stage 0's back-test</t>
        </is>
      </c>
      <c r="I21" t="inlineStr">
        <is>
          <t>high</t>
        </is>
      </c>
      <c r="J21" s="2" t="inlineStr">
        <is>
          <t>running.expected_credit_loss_on_the_drawn_balance.amount</t>
        </is>
      </c>
    </row>
    <row r="22">
      <c r="A22" t="inlineStr">
        <is>
          <t>Running cost, operating unit — Computing and payments in the account line</t>
        </is>
      </c>
      <c r="B22" s="11">
        <f>CHOOSE('1 Master'!$B$4,C22,D22,E22)</f>
        <v/>
      </c>
      <c r="C22" s="12" t="n">
        <v>0.2975</v>
      </c>
      <c r="D22" s="12" t="n">
        <v>0.1683</v>
      </c>
      <c r="E22" s="12" t="n">
        <v>0.4267</v>
      </c>
      <c r="F22" t="inlineStr">
        <is>
          <t>GBP</t>
        </is>
      </c>
      <c r="G22" t="n">
        <v>4</v>
      </c>
      <c r="H22" s="8" t="inlineStr">
        <is>
          <t>⚠ AOM v10 §6 — computing 2.02–5.12 per £1,000 a year; ÷ 12</t>
        </is>
      </c>
      <c r="I22" t="inlineStr">
        <is>
          <t>high</t>
        </is>
      </c>
      <c r="J22" s="2" t="inlineStr">
        <is>
          <t>running.computing_and_payments_in_the_account_line.amount</t>
        </is>
      </c>
    </row>
    <row r="23">
      <c r="A23" t="inlineStr">
        <is>
          <t>Running cost, operating unit — Write-off administration and legal</t>
        </is>
      </c>
      <c r="B23" s="11">
        <f>CHOOSE('1 Master'!$B$4,C23,D23,E23)</f>
        <v/>
      </c>
      <c r="C23" s="12" t="n">
        <v>0.4167</v>
      </c>
      <c r="D23" s="12" t="n">
        <v>0.25</v>
      </c>
      <c r="E23" s="12" t="n">
        <v>0.5833</v>
      </c>
      <c r="F23" t="inlineStr">
        <is>
          <t>GBP</t>
        </is>
      </c>
      <c r="G23" t="n">
        <v>4</v>
      </c>
      <c r="H23" s="8" t="inlineStr">
        <is>
          <t>⚠ AOM v10 §6 — write-off administration and legal £3–7 per £1,000 a year; ÷ 12</t>
        </is>
      </c>
      <c r="I23" t="inlineStr">
        <is>
          <t>high</t>
        </is>
      </c>
      <c r="J23" s="2" t="inlineStr">
        <is>
          <t>running.write_off_administration_and_legal.amount</t>
        </is>
      </c>
    </row>
    <row r="24">
      <c r="A24" t="inlineStr">
        <is>
          <t>Running cost, operating unit — Cell tooling — case system and telephony</t>
        </is>
      </c>
      <c r="B24" s="6">
        <f>CHOOSE('1 Master'!$B$4,C24,D24,E24)</f>
        <v/>
      </c>
      <c r="C24" s="7" t="n">
        <v>23750</v>
      </c>
      <c r="D24" s="7" t="n">
        <v>19167</v>
      </c>
      <c r="E24" s="7" t="n">
        <v>28333</v>
      </c>
      <c r="F24" t="inlineStr">
        <is>
          <t>GBP</t>
        </is>
      </c>
      <c r="G24" t="n">
        <v>4</v>
      </c>
      <c r="H24" s="8" t="inlineStr">
        <is>
          <t>⚠ AOM v10 §3b — tooling £0.23–0.34m a year per cell; ÷ 12</t>
        </is>
      </c>
      <c r="I24" t="inlineStr">
        <is>
          <t>high</t>
        </is>
      </c>
      <c r="J24" s="2" t="inlineStr">
        <is>
          <t>running.cell_tooling_case_system_and_telephony.amount</t>
        </is>
      </c>
    </row>
    <row r="25">
      <c r="A25" t="inlineStr">
        <is>
          <t>Running cost, operating unit — Shared trainer</t>
        </is>
      </c>
      <c r="B25" s="6">
        <f>CHOOSE('1 Master'!$B$4,C25,D25,E25)</f>
        <v/>
      </c>
      <c r="C25" s="7" t="n">
        <v>2083</v>
      </c>
      <c r="D25" s="7" t="n">
        <v>1667</v>
      </c>
      <c r="E25" s="7" t="n">
        <v>2500</v>
      </c>
      <c r="F25" t="inlineStr">
        <is>
          <t>GBP</t>
        </is>
      </c>
      <c r="G25" t="n">
        <v>4</v>
      </c>
      <c r="H25" s="8" t="inlineStr">
        <is>
          <t>⚠ AOM v10 §3b — one trainer £20–30k a year shared across the cells; ÷ 12</t>
        </is>
      </c>
      <c r="I25" t="inlineStr">
        <is>
          <t>high</t>
        </is>
      </c>
      <c r="J25" s="2" t="inlineStr">
        <is>
          <t>running.shared_trainer.amount</t>
        </is>
      </c>
    </row>
    <row r="26">
      <c r="A26" t="inlineStr">
        <is>
          <t>Running cost, head office, per month — Technology run — the limit engine</t>
        </is>
      </c>
      <c r="B26" s="6">
        <f>CHOOSE('1 Master'!$B$4,C26,D26,E26)</f>
        <v/>
      </c>
      <c r="C26" s="7" t="n">
        <v>166667</v>
      </c>
      <c r="D26" s="7" t="n">
        <v>83333</v>
      </c>
      <c r="E26" s="7" t="n">
        <v>250000</v>
      </c>
      <c r="F26" t="inlineStr">
        <is>
          <t>GBP</t>
        </is>
      </c>
      <c r="G26" t="n">
        <v>4</v>
      </c>
      <c r="H26" s="8" t="inlineStr">
        <is>
          <t>⚠ AOM v10 §3c — £1–3m a year; ÷ 12</t>
        </is>
      </c>
      <c r="I26" t="inlineStr">
        <is>
          <t>high</t>
        </is>
      </c>
      <c r="J26" s="2" t="inlineStr">
        <is>
          <t>ho_running.technology_run_the_limit_engine.amount</t>
        </is>
      </c>
    </row>
    <row r="27">
      <c r="A27" t="inlineStr">
        <is>
          <t>Running cost, head office, per month — Fraud monitoring on funded events</t>
        </is>
      </c>
      <c r="B27" s="6">
        <f>CHOOSE('1 Master'!$B$4,C27,D27,E27)</f>
        <v/>
      </c>
      <c r="C27" s="7" t="n">
        <v>104167</v>
      </c>
      <c r="D27" s="7" t="n">
        <v>41667</v>
      </c>
      <c r="E27" s="7" t="n">
        <v>166667</v>
      </c>
      <c r="F27" t="inlineStr">
        <is>
          <t>GBP</t>
        </is>
      </c>
      <c r="G27" t="n">
        <v>4</v>
      </c>
      <c r="H27" s="8" t="inlineStr">
        <is>
          <t>⚠ AOM v10 §3c — £0.5–2m a year; ÷ 12</t>
        </is>
      </c>
      <c r="I27" t="inlineStr">
        <is>
          <t>high</t>
        </is>
      </c>
      <c r="J27" s="2" t="inlineStr">
        <is>
          <t>ho_running.fraud_monitoring_on_funded_events.amount</t>
        </is>
      </c>
    </row>
    <row r="28">
      <c r="A28" t="inlineStr">
        <is>
          <t>Running cost, head office, per month — Other head-office people (the all-people total less the named teams)</t>
        </is>
      </c>
      <c r="B28" s="6">
        <f>CHOOSE('1 Master'!$B$4,C28,D28,E28)</f>
        <v/>
      </c>
      <c r="C28" s="7" t="n">
        <v>37500</v>
      </c>
      <c r="D28" s="7" t="n">
        <v>25000</v>
      </c>
      <c r="E28" s="7" t="n">
        <v>50000</v>
      </c>
      <c r="F28" t="inlineStr">
        <is>
          <t>GBP</t>
        </is>
      </c>
      <c r="G28" t="n">
        <v>4</v>
      </c>
      <c r="H28" s="8" t="inlineStr">
        <is>
          <t>⚠ fin-sim input rc_people_gbp £7.6–13.55m a year (AOM v10 §3c all-people cost) less the six lines named here; ÷ 12</t>
        </is>
      </c>
      <c r="I28" t="inlineStr">
        <is>
          <t>high</t>
        </is>
      </c>
      <c r="J28" s="2" t="inlineStr">
        <is>
          <t>ho_running.other_head_office_people_the_all_people_total_less_the_named_teams.amount</t>
        </is>
      </c>
    </row>
    <row r="29">
      <c r="A29" t="inlineStr">
        <is>
          <t>Running cost, head office, per month — Standby securitisation route — annual upkeep</t>
        </is>
      </c>
      <c r="B29" s="6">
        <f>CHOOSE('1 Master'!$B$4,C29,D29,E29)</f>
        <v/>
      </c>
      <c r="C29" s="7" t="n">
        <v>37500</v>
      </c>
      <c r="D29" s="7" t="n">
        <v>25000</v>
      </c>
      <c r="E29" s="7" t="n">
        <v>50000</v>
      </c>
      <c r="F29" t="inlineStr">
        <is>
          <t>GBP</t>
        </is>
      </c>
      <c r="G29" t="n">
        <v>4</v>
      </c>
      <c r="H29" s="8" t="inlineStr">
        <is>
          <t>⚠ C10 record — a documented, never-issued master trust kept current, £0.3–0.6m a year (external); ÷ 12</t>
        </is>
      </c>
      <c r="I29" t="inlineStr">
        <is>
          <t>high</t>
        </is>
      </c>
      <c r="J29" s="2" t="inlineStr">
        <is>
          <t>ho_running.standby_securitisation_route_annual_upkeep.amount</t>
        </is>
      </c>
    </row>
    <row r="30">
      <c r="A30" t="inlineStr">
        <is>
          <t>Running cost, head office, per month — Reserve against the assumed head-office count</t>
        </is>
      </c>
      <c r="B30" s="6">
        <f>CHOOSE('1 Master'!$B$4,C30,D30,E30)</f>
        <v/>
      </c>
      <c r="C30" s="7" t="n">
        <v>150000</v>
      </c>
      <c r="D30" s="7" t="n">
        <v>0</v>
      </c>
      <c r="E30" s="7" t="n">
        <v>300333</v>
      </c>
      <c r="F30" t="inlineStr">
        <is>
          <t>GBP</t>
        </is>
      </c>
      <c r="G30" t="n">
        <v>4</v>
      </c>
      <c r="H30" s="8" t="inlineStr">
        <is>
          <t>⚠ AOM v10.1 §6 — a named reserve of 1.06 per £1,000 at the conservative corner on a £3.4bn book, released when the insider's count is read (S2 of the C10 audit); ÷ 12</t>
        </is>
      </c>
      <c r="I30" t="inlineStr">
        <is>
          <t>high</t>
        </is>
      </c>
      <c r="J30" s="2" t="inlineStr">
        <is>
          <t>ho_running.reserve_against_the_assumed_head_office_count.amount</t>
        </is>
      </c>
    </row>
    <row r="31">
      <c r="A31" t="inlineStr">
        <is>
          <t>Development cost, head office, one-time — Stage 0 back-test on the bank's own account history</t>
        </is>
      </c>
      <c r="B31" s="6">
        <f>CHOOSE('1 Master'!$B$4,C31,D31,E31)</f>
        <v/>
      </c>
      <c r="C31" s="7" t="n">
        <v>550000</v>
      </c>
      <c r="D31" s="7" t="n">
        <v>300000</v>
      </c>
      <c r="E31" s="7" t="n">
        <v>800000</v>
      </c>
      <c r="F31" t="inlineStr">
        <is>
          <t>GBP</t>
        </is>
      </c>
      <c r="G31" t="n">
        <v>4</v>
      </c>
      <c r="H31" s="8" t="inlineStr">
        <is>
          <t>⚠ C3 record — the shadow run and back-test, £0.3–0.8m, no customer and no release</t>
        </is>
      </c>
      <c r="I31" t="inlineStr">
        <is>
          <t>high</t>
        </is>
      </c>
      <c r="J31" s="2" t="inlineStr">
        <is>
          <t>ho_dev.stage_0_back_test_on_the_bank_s_own_account_history.cost</t>
        </is>
      </c>
    </row>
    <row r="32">
      <c r="A32" t="inlineStr">
        <is>
          <t>Development cost, head office, one-time — Outcome ledger build</t>
        </is>
      </c>
      <c r="B32" s="6">
        <f>CHOOSE('1 Master'!$B$4,C32,D32,E32)</f>
        <v/>
      </c>
      <c r="C32" s="7" t="n">
        <v>200000</v>
      </c>
      <c r="D32" s="7" t="n">
        <v>100000</v>
      </c>
      <c r="E32" s="7" t="n">
        <v>300000</v>
      </c>
      <c r="F32" t="inlineStr">
        <is>
          <t>GBP</t>
        </is>
      </c>
      <c r="G32" t="n">
        <v>4</v>
      </c>
      <c r="H32" s="8" t="inlineStr">
        <is>
          <t>⚠ C9 record — £0.1–0.3m once</t>
        </is>
      </c>
      <c r="I32" t="inlineStr">
        <is>
          <t>high</t>
        </is>
      </c>
      <c r="J32" s="2" t="inlineStr">
        <is>
          <t>ho_dev.outcome_ledger_build.cost</t>
        </is>
      </c>
    </row>
    <row r="33">
      <c r="A33" t="inlineStr">
        <is>
          <t>Development cost, head office, one-time — Seasoning schedule build</t>
        </is>
      </c>
      <c r="B33" s="6">
        <f>CHOOSE('1 Master'!$B$4,C33,D33,E33)</f>
        <v/>
      </c>
      <c r="C33" s="7" t="n">
        <v>30000</v>
      </c>
      <c r="D33" s="7" t="n">
        <v>20000</v>
      </c>
      <c r="E33" s="7" t="n">
        <v>40000</v>
      </c>
      <c r="F33" t="inlineStr">
        <is>
          <t>GBP</t>
        </is>
      </c>
      <c r="G33" t="n">
        <v>4</v>
      </c>
      <c r="H33" s="8" t="inlineStr">
        <is>
          <t>⚠ C8 record — £20–40k once</t>
        </is>
      </c>
      <c r="I33" t="inlineStr">
        <is>
          <t>high</t>
        </is>
      </c>
      <c r="J33" s="2" t="inlineStr">
        <is>
          <t>ho_dev.seasoning_schedule_build.cost</t>
        </is>
      </c>
    </row>
    <row r="34">
      <c r="A34" t="inlineStr">
        <is>
          <t>Development cost, head office, one-time — Credit-line element build and conformance test</t>
        </is>
      </c>
      <c r="B34" s="6">
        <f>CHOOSE('1 Master'!$B$4,C34,D34,E34)</f>
        <v/>
      </c>
      <c r="C34" s="7" t="n">
        <v>75000</v>
      </c>
      <c r="D34" s="7" t="n">
        <v>50000</v>
      </c>
      <c r="E34" s="7" t="n">
        <v>100000</v>
      </c>
      <c r="F34" t="inlineStr">
        <is>
          <t>GBP</t>
        </is>
      </c>
      <c r="G34" t="n">
        <v>4</v>
      </c>
      <c r="H34" s="8" t="inlineStr">
        <is>
          <t>⚠ C7 record — £50–100k once</t>
        </is>
      </c>
      <c r="I34" t="inlineStr">
        <is>
          <t>high</t>
        </is>
      </c>
      <c r="J34" s="2" t="inlineStr">
        <is>
          <t>ho_dev.credit_line_element_build_and_conformance_test.cost</t>
        </is>
      </c>
    </row>
    <row r="35">
      <c r="A35" t="inlineStr">
        <is>
          <t>Development cost, head office, one-time — Funding term</t>
        </is>
      </c>
      <c r="B35" s="6">
        <f>CHOOSE('1 Master'!$B$4,C35,D35,E35)</f>
        <v/>
      </c>
      <c r="C35" s="7" t="n">
        <v>39500</v>
      </c>
      <c r="D35" s="7" t="n">
        <v>26000</v>
      </c>
      <c r="E35" s="7" t="n">
        <v>53000</v>
      </c>
      <c r="F35" t="inlineStr">
        <is>
          <t>GBP</t>
        </is>
      </c>
      <c r="G35" t="n">
        <v>4</v>
      </c>
      <c r="H35" s="8" t="inlineStr">
        <is>
          <t>⚠ C5 and C6 records — £26–53k once</t>
        </is>
      </c>
      <c r="I35" t="inlineStr">
        <is>
          <t>high</t>
        </is>
      </c>
      <c r="J35" s="2" t="inlineStr">
        <is>
          <t>ho_dev.funding_term.cost</t>
        </is>
      </c>
    </row>
    <row r="36">
      <c r="A36" t="inlineStr">
        <is>
          <t>Development cost, head office, one-time — Migration notices to the accounts moving to the levelled line</t>
        </is>
      </c>
      <c r="B36" s="6">
        <f>CHOOSE('1 Master'!$B$4,C36,D36,E36)</f>
        <v/>
      </c>
      <c r="C36" s="7" t="n">
        <v>575000</v>
      </c>
      <c r="D36" s="7" t="n">
        <v>300000</v>
      </c>
      <c r="E36" s="7" t="n">
        <v>850000</v>
      </c>
      <c r="F36" t="inlineStr">
        <is>
          <t>GBP</t>
        </is>
      </c>
      <c r="G36" t="n">
        <v>4</v>
      </c>
      <c r="H36" s="8" t="inlineStr">
        <is>
          <t>⚠ C2 record — £0.3–0.85m once</t>
        </is>
      </c>
      <c r="I36" t="inlineStr">
        <is>
          <t>high</t>
        </is>
      </c>
      <c r="J36" s="2" t="inlineStr">
        <is>
          <t>ho_dev.migration_notices_to_the_accounts_moving_to_the_levelled_line.cost</t>
        </is>
      </c>
    </row>
    <row r="37">
      <c r="A37" t="inlineStr">
        <is>
          <t>Development cost, head office, one-time — Stage readings at each release gate</t>
        </is>
      </c>
      <c r="B37" s="6">
        <f>CHOOSE('1 Master'!$B$4,C37,D37,E37)</f>
        <v/>
      </c>
      <c r="C37" s="7" t="n">
        <v>90000</v>
      </c>
      <c r="D37" s="7" t="n">
        <v>45000</v>
      </c>
      <c r="E37" s="7" t="n">
        <v>135000</v>
      </c>
      <c r="F37" t="inlineStr">
        <is>
          <t>GBP</t>
        </is>
      </c>
      <c r="G37" t="n">
        <v>4</v>
      </c>
      <c r="H37" s="8" t="inlineStr">
        <is>
          <t>⚠ C3 record — £45–135k once</t>
        </is>
      </c>
      <c r="I37" t="inlineStr">
        <is>
          <t>high</t>
        </is>
      </c>
      <c r="J37" s="2" t="inlineStr">
        <is>
          <t>ho_dev.stage_readings_at_each_release_gate.cost</t>
        </is>
      </c>
    </row>
    <row r="38">
      <c r="A38" t="inlineStr">
        <is>
          <t>Development cost, head office, one-time — Standby securitisation route — documentation and set-up</t>
        </is>
      </c>
      <c r="B38" s="6">
        <f>CHOOSE('1 Master'!$B$4,C38,D38,E38)</f>
        <v/>
      </c>
      <c r="C38" s="7" t="n">
        <v>2000000</v>
      </c>
      <c r="D38" s="7" t="n">
        <v>1000000</v>
      </c>
      <c r="E38" s="7" t="n">
        <v>3000000</v>
      </c>
      <c r="F38" t="inlineStr">
        <is>
          <t>GBP</t>
        </is>
      </c>
      <c r="G38" t="n">
        <v>4</v>
      </c>
      <c r="H38" s="8" t="inlineStr">
        <is>
          <t>⚠ C10 record — £1–3m once, documented before Stage 3 and never issued</t>
        </is>
      </c>
      <c r="I38" t="inlineStr">
        <is>
          <t>high</t>
        </is>
      </c>
      <c r="J38" s="2" t="inlineStr">
        <is>
          <t>ho_dev.standby_securitisation_route_documentation_and_set_up.cost</t>
        </is>
      </c>
    </row>
    <row r="39">
      <c r="A39" t="inlineStr">
        <is>
          <t>Development cost, head office, one-time — Carrying cost of the pool overlays during release</t>
        </is>
      </c>
      <c r="B39" s="6">
        <f>CHOOSE('1 Master'!$B$4,C39,D39,E39)</f>
        <v/>
      </c>
      <c r="C39" s="7" t="n">
        <v>5200000</v>
      </c>
      <c r="D39" s="7" t="n">
        <v>0</v>
      </c>
      <c r="E39" s="7" t="n">
        <v>10400000</v>
      </c>
      <c r="F39" t="inlineStr">
        <is>
          <t>GBP</t>
        </is>
      </c>
      <c r="G39" t="n">
        <v>4</v>
      </c>
      <c r="H39" s="8" t="inlineStr">
        <is>
          <t>⚠ C3 record — capital held against the Stage 1 book (£0–19m, 12 months) and each replica (£0–50m, 6 months) at 12–15%; a charge for capital held, not a payment</t>
        </is>
      </c>
      <c r="I39" t="inlineStr">
        <is>
          <t>high</t>
        </is>
      </c>
      <c r="J39" s="2" t="inlineStr">
        <is>
          <t>ho_dev.carrying_cost_of_the_pool_overlays_during_release.cost</t>
        </is>
      </c>
    </row>
    <row r="40">
      <c r="A40" t="inlineStr">
        <is>
          <t>Start-up working capital (months of unit running cost)</t>
        </is>
      </c>
      <c r="B40" s="6">
        <f>CHOOSE('1 Master'!$B$4,C40,D40,E40)</f>
        <v/>
      </c>
      <c r="C40" s="7" t="n">
        <v>0</v>
      </c>
      <c r="D40" s="7" t="n">
        <v>0</v>
      </c>
      <c r="E40" s="7" t="n">
        <v>1</v>
      </c>
      <c r="F40" t="inlineStr">
        <is>
          <t>months</t>
        </is>
      </c>
      <c r="G40" t="n">
        <v>4</v>
      </c>
      <c r="H40" s="8" t="inlineStr">
        <is>
          <t>the charge is collected as the first slice of each receipts share from month one (C6), so the cell carries no working capital; one month held at the adverse end</t>
        </is>
      </c>
      <c r="I40" t="inlineStr">
        <is>
          <t>high</t>
        </is>
      </c>
      <c r="J40" s="2" t="inlineStr">
        <is>
          <t>startup.working_capital_months</t>
        </is>
      </c>
    </row>
    <row r="41">
      <c r="A41" t="inlineStr">
        <is>
          <t>Investment recovery period (months)</t>
        </is>
      </c>
      <c r="B41" s="6">
        <f>CHOOSE('1 Master'!$B$4,C41,D41,E41)</f>
        <v/>
      </c>
      <c r="C41" s="7" t="n">
        <v>60</v>
      </c>
      <c r="D41" s="7" t="n">
        <v>36</v>
      </c>
      <c r="E41" s="7" t="n">
        <v>60</v>
      </c>
      <c r="F41" t="inlineStr">
        <is>
          <t>months</t>
        </is>
      </c>
      <c r="G41" t="n">
        <v>4</v>
      </c>
      <c r="H41" s="8" t="inlineStr">
        <is>
          <t>the one-offs are spread over the five-year forecast; 36 months held at the adverse end</t>
        </is>
      </c>
      <c r="I41" t="inlineStr">
        <is>
          <t>low</t>
        </is>
      </c>
      <c r="J41" s="2" t="inlineStr">
        <is>
          <t>startup.investment_period_months</t>
        </is>
      </c>
    </row>
    <row r="42">
      <c r="A42" t="inlineStr">
        <is>
          <t>Cost of capital (annual)</t>
        </is>
      </c>
      <c r="B42" s="9">
        <f>CHOOSE('1 Master'!$B$4,C42,D42,E42)</f>
        <v/>
      </c>
      <c r="C42" s="10" t="n">
        <v>0.135</v>
      </c>
      <c r="D42" s="10" t="n">
        <v>0.12</v>
      </c>
      <c r="E42" s="10" t="n">
        <v>0.15</v>
      </c>
      <c r="F42" t="inlineStr">
        <is>
          <t>share</t>
        </is>
      </c>
      <c r="G42" t="n">
        <v>3</v>
      </c>
      <c r="H42" s="8" t="inlineStr">
        <is>
          <t>⚠ FIT model at C10 — cost of equity 12–15% on the capital held against the book (a bank's target return on tangible equity, public results)</t>
        </is>
      </c>
      <c r="I42" t="inlineStr">
        <is>
          <t>high</t>
        </is>
      </c>
      <c r="J42" s="2" t="inlineStr">
        <is>
          <t>finance.cost_of_capital</t>
        </is>
      </c>
    </row>
    <row r="43">
      <c r="A43" t="inlineStr">
        <is>
          <t>Tax rate on investment returns</t>
        </is>
      </c>
      <c r="B43" s="9">
        <f>CHOOSE('1 Master'!$B$4,C43,D43,E43)</f>
        <v/>
      </c>
      <c r="C43" s="10" t="n">
        <v>0.25</v>
      </c>
      <c r="D43" s="10" t="n">
        <v>0.25</v>
      </c>
      <c r="E43" s="10" t="n">
        <v>0.25</v>
      </c>
      <c r="F43" t="inlineStr">
        <is>
          <t>share</t>
        </is>
      </c>
      <c r="G43" t="inlineStr"/>
      <c r="H43" s="8" t="inlineStr"/>
      <c r="I43" t="inlineStr"/>
      <c r="J43" s="2" t="inlineStr">
        <is>
          <t>finance.tax_rate</t>
        </is>
      </c>
    </row>
    <row r="44">
      <c r="A44" t="inlineStr">
        <is>
          <t>Head-office target profit (share of head-office cost)</t>
        </is>
      </c>
      <c r="B44" s="9">
        <f>CHOOSE('1 Master'!$B$4,C44,D44,E44)</f>
        <v/>
      </c>
      <c r="C44" s="10" t="n">
        <v>0</v>
      </c>
      <c r="D44" s="10" t="n">
        <v>0</v>
      </c>
      <c r="E44" s="10" t="n">
        <v>0</v>
      </c>
      <c r="F44" t="inlineStr">
        <is>
          <t>share</t>
        </is>
      </c>
      <c r="G44" t="inlineStr"/>
      <c r="H44" s="8" t="inlineStr"/>
      <c r="I44" t="inlineStr"/>
      <c r="J44" s="2" t="inlineStr">
        <is>
          <t>finance.ho_target_ebit</t>
        </is>
      </c>
    </row>
    <row r="45">
      <c r="A45" t="inlineStr">
        <is>
          <t>Target margin of safety</t>
        </is>
      </c>
      <c r="B45" s="9">
        <f>CHOOSE('1 Master'!$B$4,C45,D45,E45)</f>
        <v/>
      </c>
      <c r="C45" s="10" t="n">
        <v>0.25</v>
      </c>
      <c r="D45" s="10" t="n">
        <v>0.25</v>
      </c>
      <c r="E45" s="10" t="n">
        <v>0.25</v>
      </c>
      <c r="F45" t="inlineStr">
        <is>
          <t>share</t>
        </is>
      </c>
      <c r="G45" t="inlineStr"/>
      <c r="H45" s="8" t="inlineStr"/>
      <c r="I45" t="inlineStr"/>
      <c r="J45" s="2" t="inlineStr">
        <is>
          <t>finance.target_margin</t>
        </is>
      </c>
    </row>
    <row r="46">
      <c r="A46" t="inlineStr">
        <is>
          <t>Balance lent per transaction (the book one transaction carries)</t>
        </is>
      </c>
      <c r="B46" s="6">
        <f>CHOOSE('1 Master'!$B$4,C46,D46,E46)</f>
        <v/>
      </c>
      <c r="C46" s="7" t="n">
        <v>1000</v>
      </c>
      <c r="D46" s="7" t="n">
        <v>1000</v>
      </c>
      <c r="E46" s="7" t="n">
        <v>1000</v>
      </c>
      <c r="F46" t="inlineStr">
        <is>
          <t>GBP</t>
        </is>
      </c>
      <c r="G46" t="n">
        <v>1</v>
      </c>
      <c r="H46" s="8" t="inlineStr">
        <is>
          <t>by definition — one transaction is £1,000 of drawn balance carried for one month</t>
        </is>
      </c>
      <c r="I46" t="inlineStr"/>
      <c r="J46" s="2" t="inlineStr">
        <is>
          <t>book.balance_per_transaction</t>
        </is>
      </c>
    </row>
    <row r="47">
      <c r="A47" t="inlineStr">
        <is>
          <t>Share of the book the venture funds with its own capital</t>
        </is>
      </c>
      <c r="B47" s="9">
        <f>CHOOSE('1 Master'!$B$4,C47,D47,E47)</f>
        <v/>
      </c>
      <c r="C47" s="10" t="n">
        <v>0.1148</v>
      </c>
      <c r="D47" s="10" t="n">
        <v>0.1071</v>
      </c>
      <c r="E47" s="10" t="n">
        <v>0.1224</v>
      </c>
      <c r="F47" t="inlineStr">
        <is>
          <t>share</t>
        </is>
      </c>
      <c r="G47" t="n">
        <v>2</v>
      </c>
      <c r="H47" s="8" t="inlineStr">
        <is>
          <t>75% risk weight (CRR Art. 123, FACT) × ⚠ 12% total capital × (1 + 10% conversion on undrawn (Basel 3.1, PRA PS9/24, FACT) × ⚠ 1.9–3.6 undrawn per drawn); the rest of the book is funded by the pool's own credit balances (C10)</t>
        </is>
      </c>
      <c r="I47" t="inlineStr">
        <is>
          <t>high</t>
        </is>
      </c>
      <c r="J47" s="2" t="inlineStr">
        <is>
          <t>book.capital_share_of_balance</t>
        </is>
      </c>
    </row>
    <row r="48">
      <c r="A48" t="inlineStr">
        <is>
          <t>Operating units open in year one</t>
        </is>
      </c>
      <c r="B48" s="6">
        <f>CHOOSE('1 Master'!$B$4,C48,D48,E48)</f>
        <v/>
      </c>
      <c r="C48" s="7" t="n">
        <v>0.76</v>
      </c>
      <c r="D48" s="7" t="n">
        <v>0.76</v>
      </c>
      <c r="E48" s="7" t="n">
        <v>0.76</v>
      </c>
      <c r="F48" t="inlineStr"/>
      <c r="G48" t="inlineStr"/>
      <c r="H48" s="8" t="inlineStr"/>
      <c r="I48" t="inlineStr"/>
      <c r="J48" s="2" t="inlineStr">
        <is>
          <t>cashflow.year1_units</t>
        </is>
      </c>
    </row>
    <row r="49">
      <c r="A49" t="inlineStr">
        <is>
          <t>Share of the at-scale head office staffed and run in year one</t>
        </is>
      </c>
      <c r="B49" s="9">
        <f>CHOOSE('1 Master'!$B$4,C49,D49,E49)</f>
        <v/>
      </c>
      <c r="C49" s="10" t="n">
        <v>1</v>
      </c>
      <c r="D49" s="10" t="n">
        <v>1</v>
      </c>
      <c r="E49" s="10" t="n">
        <v>1</v>
      </c>
      <c r="F49" t="inlineStr">
        <is>
          <t>share</t>
        </is>
      </c>
      <c r="G49" t="inlineStr"/>
      <c r="H49" s="8" t="inlineStr"/>
      <c r="I49" t="inlineStr"/>
      <c r="J49" s="2" t="inlineStr">
        <is>
          <t>cashflow.year1_head_office_share</t>
        </is>
      </c>
    </row>
    <row r="50">
      <c r="A50" t="inlineStr">
        <is>
          <t>Opening cash balance</t>
        </is>
      </c>
      <c r="B50" s="6">
        <f>CHOOSE('1 Master'!$B$4,C50,D50,E50)</f>
        <v/>
      </c>
      <c r="C50" s="7" t="n">
        <v>0</v>
      </c>
      <c r="D50" s="7" t="n">
        <v>0</v>
      </c>
      <c r="E50" s="7" t="n">
        <v>0</v>
      </c>
      <c r="F50" t="inlineStr"/>
      <c r="G50" t="inlineStr"/>
      <c r="H50" s="8" t="inlineStr"/>
      <c r="I50" t="inlineStr"/>
      <c r="J50" s="2" t="inlineStr">
        <is>
          <t>cashflow.opening_balance</t>
        </is>
      </c>
    </row>
    <row r="51">
      <c r="A51" t="inlineStr">
        <is>
          <t>Loan amount</t>
        </is>
      </c>
      <c r="B51" s="6">
        <f>CHOOSE('1 Master'!$B$4,C51,D51,E51)</f>
        <v/>
      </c>
      <c r="C51" s="7" t="n">
        <v>0</v>
      </c>
      <c r="D51" s="7" t="n">
        <v>0</v>
      </c>
      <c r="E51" s="7" t="n">
        <v>0</v>
      </c>
      <c r="F51" t="inlineStr"/>
      <c r="G51" t="inlineStr"/>
      <c r="H51" s="8" t="inlineStr"/>
      <c r="I51" t="inlineStr"/>
      <c r="J51" s="2" t="inlineStr">
        <is>
          <t>cashflow.loan_amount</t>
        </is>
      </c>
    </row>
    <row r="52">
      <c r="A52" t="inlineStr">
        <is>
          <t>Loan interest rate (annual)</t>
        </is>
      </c>
      <c r="B52" s="9">
        <f>CHOOSE('1 Master'!$B$4,C52,D52,E52)</f>
        <v/>
      </c>
      <c r="C52" s="10" t="n">
        <v>0</v>
      </c>
      <c r="D52" s="10" t="n">
        <v>0</v>
      </c>
      <c r="E52" s="10" t="n">
        <v>0</v>
      </c>
      <c r="F52" t="inlineStr">
        <is>
          <t>share</t>
        </is>
      </c>
      <c r="G52" t="inlineStr"/>
      <c r="H52" s="8" t="inlineStr"/>
      <c r="I52" t="inlineStr"/>
      <c r="J52" s="2" t="inlineStr">
        <is>
          <t>cashflow.loan_rate_annual</t>
        </is>
      </c>
    </row>
    <row r="53">
      <c r="A53" t="inlineStr">
        <is>
          <t>Loan term (months)</t>
        </is>
      </c>
      <c r="B53" s="6">
        <f>CHOOSE('1 Master'!$B$4,C53,D53,E53)</f>
        <v/>
      </c>
      <c r="C53" s="7" t="n">
        <v>12</v>
      </c>
      <c r="D53" s="7" t="n">
        <v>12</v>
      </c>
      <c r="E53" s="7" t="n">
        <v>12</v>
      </c>
      <c r="F53" t="inlineStr"/>
      <c r="G53" t="inlineStr"/>
      <c r="H53" s="8" t="inlineStr"/>
      <c r="I53" t="inlineStr"/>
      <c r="J53" s="2" t="inlineStr">
        <is>
          <t>cashflow.loan_term_months</t>
        </is>
      </c>
    </row>
    <row r="54">
      <c r="A54" t="inlineStr">
        <is>
          <t>Other equity or grants in month one</t>
        </is>
      </c>
      <c r="B54" s="6">
        <f>CHOOSE('1 Master'!$B$4,C54,D54,E54)</f>
        <v/>
      </c>
      <c r="C54" s="7" t="n">
        <v>5000000</v>
      </c>
      <c r="D54" s="7" t="n">
        <v>5000000</v>
      </c>
      <c r="E54" s="7" t="n">
        <v>5000000</v>
      </c>
      <c r="F54" t="inlineStr"/>
      <c r="G54" t="inlineStr"/>
      <c r="H54" s="8" t="inlineStr"/>
      <c r="I54" t="inlineStr"/>
      <c r="J54" s="2" t="inlineStr">
        <is>
          <t>cashflow.other_equity</t>
        </is>
      </c>
    </row>
    <row r="55">
      <c r="A55" t="inlineStr">
        <is>
          <t>Stress test: reduction in revenue</t>
        </is>
      </c>
      <c r="B55" s="9">
        <f>CHOOSE('1 Master'!$B$4,C55,D55,E55)</f>
        <v/>
      </c>
      <c r="C55" s="10" t="n">
        <v>0.1</v>
      </c>
      <c r="D55" s="10" t="n">
        <v>0.1</v>
      </c>
      <c r="E55" s="10" t="n">
        <v>0.1</v>
      </c>
      <c r="F55" t="inlineStr">
        <is>
          <t>share</t>
        </is>
      </c>
      <c r="G55" t="inlineStr"/>
      <c r="H55" s="8" t="inlineStr"/>
      <c r="I55" t="inlineStr"/>
      <c r="J55" s="2" t="inlineStr">
        <is>
          <t>cashflow.stress_revenue_reduction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2" customWidth="1" min="1" max="1"/>
    <col width="18" customWidth="1" min="2" max="2"/>
    <col width="60" customWidth="1" min="3" max="3"/>
    <col width="12" customWidth="1" min="4" max="4"/>
    <col width="18" customWidth="1" min="5" max="5"/>
    <col width="18" customWidth="1" min="6" max="6"/>
    <col width="18" customWidth="1" min="7" max="7"/>
  </cols>
  <sheetData>
    <row r="1">
      <c r="A1" s="1" t="inlineStr">
        <is>
          <t>Customer base and monthly transactions — one operating unit, then the venture</t>
        </is>
      </c>
    </row>
    <row r="2">
      <c r="A2" s="2" t="inlineStr">
        <is>
          <t>Operating unit: exception cell — One handling cell — 11 to 15 handlers, a lead and shared tooling — serving one third of the reachable accounts; the automated limit, funding and collection run in the account line and cost per £1,000 drawn.</t>
        </is>
      </c>
    </row>
    <row r="4">
      <c r="A4" t="inlineStr">
        <is>
          <t>Reachable population (whole venture)</t>
        </is>
      </c>
      <c r="B4" s="13">
        <f>'1 Master'!$B$7</f>
        <v/>
      </c>
      <c r="C4" s="2" t="inlineStr">
        <is>
          <t>Master</t>
        </is>
      </c>
    </row>
    <row r="5">
      <c r="A5" t="inlineStr">
        <is>
          <t>Total addressable market = reachable × (1 − non-viable share)</t>
        </is>
      </c>
      <c r="B5" s="13">
        <f>B4*(1-'1 Master'!$B$8)</f>
        <v/>
      </c>
      <c r="C5" s="2" t="inlineStr">
        <is>
          <t>IFC step 1</t>
        </is>
      </c>
    </row>
    <row r="6">
      <c r="A6" t="inlineStr">
        <is>
          <t>Number of operating units = reachable ÷ population per unit, rounded up</t>
        </is>
      </c>
      <c r="B6" s="13">
        <f>ROUNDUP(B4/'1 Master'!$B$9,0)</f>
        <v/>
      </c>
      <c r="C6" s="2" t="inlineStr">
        <is>
          <t>IFC step 1</t>
        </is>
      </c>
    </row>
    <row r="7">
      <c r="A7" t="inlineStr">
        <is>
          <t>Reachable population per unit</t>
        </is>
      </c>
      <c r="B7" s="13">
        <f>'1 Master'!$B$9</f>
        <v/>
      </c>
      <c r="C7" s="2" t="inlineStr">
        <is>
          <t>Master</t>
        </is>
      </c>
    </row>
    <row r="8">
      <c r="A8" t="inlineStr">
        <is>
          <t>Viable population per unit = reachable per unit × (1 − non-viable share)</t>
        </is>
      </c>
      <c r="B8" s="13">
        <f>B7*(1-'1 Master'!$B$8)</f>
        <v/>
      </c>
      <c r="C8" s="2" t="inlineStr"/>
    </row>
    <row r="9">
      <c r="A9" t="inlineStr">
        <is>
          <t>Customer base per unit = viable population × penetration</t>
        </is>
      </c>
      <c r="B9" s="13">
        <f>B8*'1 Master'!$B$10</f>
        <v/>
      </c>
      <c r="C9" s="2" t="inlineStr">
        <is>
          <t>IFC step 1</t>
        </is>
      </c>
    </row>
    <row r="10">
      <c r="A10" t="inlineStr">
        <is>
          <t>Transactions per unit per month = customers × frequency</t>
        </is>
      </c>
      <c r="B10" s="13">
        <f>B9*'1 Master'!$B$11</f>
        <v/>
      </c>
      <c r="C10" s="2" t="inlineStr">
        <is>
          <t>IFC step 1</t>
        </is>
      </c>
    </row>
    <row r="11">
      <c r="A11" t="inlineStr">
        <is>
          <t>Transactions across the venture per month = units × per unit</t>
        </is>
      </c>
      <c r="B11" s="13">
        <f>B6*B10</f>
        <v/>
      </c>
      <c r="C11" s="2" t="inlineStr"/>
    </row>
    <row r="13">
      <c r="A13" s="5" t="inlineStr">
        <is>
          <t>Product</t>
        </is>
      </c>
      <c r="B13" s="5" t="inlineStr">
        <is>
          <t>Share of transactions</t>
        </is>
      </c>
      <c r="C13" s="5" t="inlineStr">
        <is>
          <t>Transactions per unit per month</t>
        </is>
      </c>
      <c r="D13" s="5" t="inlineStr">
        <is>
          <t>Price</t>
        </is>
      </c>
      <c r="E13" s="5" t="inlineStr">
        <is>
          <t>Revenue per unit per month</t>
        </is>
      </c>
      <c r="F13" s="5" t="inlineStr">
        <is>
          <t>Cost of goods per transaction</t>
        </is>
      </c>
      <c r="G13" s="5" t="inlineStr">
        <is>
          <t>Cost of goods per unit per month</t>
        </is>
      </c>
    </row>
    <row r="14">
      <c r="A14" t="inlineStr">
        <is>
          <t>Drawn balance, per £1,000 carried for one month</t>
        </is>
      </c>
      <c r="B14" s="9">
        <f>'1 Master'!$B$12</f>
        <v/>
      </c>
      <c r="C14" s="13">
        <f>'2 Customers'!$B$10*B14</f>
        <v/>
      </c>
      <c r="D14" s="11">
        <f>'1 Master'!$B$13</f>
        <v/>
      </c>
      <c r="E14" s="14">
        <f>C14*D14</f>
        <v/>
      </c>
      <c r="F14" s="11">
        <f>'1 Master'!$B$14</f>
        <v/>
      </c>
      <c r="G14" s="14">
        <f>C14*F14</f>
        <v/>
      </c>
    </row>
    <row r="15">
      <c r="A15" s="3" t="inlineStr">
        <is>
          <t>Total</t>
        </is>
      </c>
      <c r="B15" s="9">
        <f>SUM(B14:B14)</f>
        <v/>
      </c>
      <c r="C15" s="15">
        <f>SUM(C14:C14)</f>
        <v/>
      </c>
      <c r="E15" s="16">
        <f>SUM(E14:E14)</f>
        <v/>
      </c>
      <c r="G15" s="16">
        <f>SUM(G14:G14)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22" customWidth="1" min="2" max="2"/>
    <col width="12" customWidth="1" min="3" max="3"/>
    <col width="20" customWidth="1" min="4" max="4"/>
    <col width="12" customWidth="1" min="5" max="5"/>
    <col width="16" customWidth="1" min="6" max="6"/>
    <col width="16" customWidth="1" min="7" max="7"/>
    <col width="40" customWidth="1" min="8" max="8"/>
  </cols>
  <sheetData>
    <row r="1">
      <c r="A1" s="1" t="inlineStr">
        <is>
          <t>Human resource costs — activities, time, drivers, headcount</t>
        </is>
      </c>
    </row>
    <row r="2">
      <c r="A2" s="2" t="inlineStr">
        <is>
          <t>Hours = minutes ÷ 60 × driver quantity × multiplier. Headcount = hours ÷ available hours, rounded up to whole people. IFC step 2.</t>
        </is>
      </c>
    </row>
    <row r="4">
      <c r="A4" s="5" t="inlineStr">
        <is>
          <t>Activity</t>
        </is>
      </c>
      <c r="B4" s="5" t="inlineStr">
        <is>
          <t>Role</t>
        </is>
      </c>
      <c r="C4" s="5" t="inlineStr">
        <is>
          <t>Minutes</t>
        </is>
      </c>
      <c r="D4" s="5" t="inlineStr">
        <is>
          <t>Driver</t>
        </is>
      </c>
      <c r="E4" s="5" t="inlineStr">
        <is>
          <t>Multiplier</t>
        </is>
      </c>
      <c r="F4" s="5" t="inlineStr">
        <is>
          <t>Driver quantity per month</t>
        </is>
      </c>
      <c r="G4" s="5" t="inlineStr">
        <is>
          <t>Hours per month</t>
        </is>
      </c>
      <c r="H4" s="5" t="inlineStr">
        <is>
          <t>Note</t>
        </is>
      </c>
    </row>
    <row r="5">
      <c r="A5" t="inlineStr">
        <is>
          <t>Flow stop — the account's receipts stop and the limit is held</t>
        </is>
      </c>
      <c r="B5" t="inlineStr">
        <is>
          <t>Exception handler</t>
        </is>
      </c>
      <c r="C5" s="4" t="n">
        <v>240</v>
      </c>
      <c r="D5" t="inlineStr">
        <is>
          <t>per_customer_month</t>
        </is>
      </c>
      <c r="E5" s="4" t="n">
        <v>0.0016667</v>
      </c>
      <c r="F5" s="13">
        <f>'2 Customers'!$B$9</f>
        <v/>
      </c>
      <c r="G5" s="17">
        <f>C5/60*F5*E5</f>
        <v/>
      </c>
      <c r="H5" s="2" t="inlineStr">
        <is>
          <t>⚠ 2,000 events per 100,000 drawn accounts a year × 4 hours (AOM v10 §3b)</t>
        </is>
      </c>
    </row>
    <row r="6">
      <c r="A6" t="inlineStr">
        <is>
          <t>Signal review — a conduct or fraud signal on a drawn account</t>
        </is>
      </c>
      <c r="B6" t="inlineStr">
        <is>
          <t>Exception handler</t>
        </is>
      </c>
      <c r="C6" s="4" t="n">
        <v>120</v>
      </c>
      <c r="D6" t="inlineStr">
        <is>
          <t>per_customer_month</t>
        </is>
      </c>
      <c r="E6" s="4" t="n">
        <v>0.0025</v>
      </c>
      <c r="F6" s="13">
        <f>'2 Customers'!$B$9</f>
        <v/>
      </c>
      <c r="G6" s="17">
        <f>C6/60*F6*E6</f>
        <v/>
      </c>
      <c r="H6" s="2" t="inlineStr">
        <is>
          <t>⚠ 3,000 events × 2 hours</t>
        </is>
      </c>
    </row>
    <row r="7">
      <c r="A7" t="inlineStr">
        <is>
          <t>Dispute — the customer contests a funded event or a charge</t>
        </is>
      </c>
      <c r="B7" t="inlineStr">
        <is>
          <t>Exception handler</t>
        </is>
      </c>
      <c r="C7" s="4" t="n">
        <v>60</v>
      </c>
      <c r="D7" t="inlineStr">
        <is>
          <t>per_customer_month</t>
        </is>
      </c>
      <c r="E7" s="4" t="n">
        <v>0.00083333</v>
      </c>
      <c r="F7" s="13">
        <f>'2 Customers'!$B$9</f>
        <v/>
      </c>
      <c r="G7" s="17">
        <f>C7/60*F7*E7</f>
        <v/>
      </c>
      <c r="H7" s="2" t="inlineStr">
        <is>
          <t>⚠ 1,000 events × 1 hour</t>
        </is>
      </c>
    </row>
    <row r="8">
      <c r="A8" t="inlineStr">
        <is>
          <t>Write-off case — the account is closed and the balance written off</t>
        </is>
      </c>
      <c r="B8" t="inlineStr">
        <is>
          <t>Exception handler</t>
        </is>
      </c>
      <c r="C8" s="4" t="n">
        <v>60</v>
      </c>
      <c r="D8" t="inlineStr">
        <is>
          <t>per_customer_month</t>
        </is>
      </c>
      <c r="E8" s="4" t="n">
        <v>0.00083333</v>
      </c>
      <c r="F8" s="13">
        <f>'2 Customers'!$B$9</f>
        <v/>
      </c>
      <c r="G8" s="17">
        <f>C8/60*F8*E8</f>
        <v/>
      </c>
      <c r="H8" s="2" t="inlineStr">
        <is>
          <t>⚠ 1,000 events × 1 hour; the administration and legal cost is a running line below</t>
        </is>
      </c>
    </row>
    <row r="9">
      <c r="A9" t="inlineStr">
        <is>
          <t>Saving statement query</t>
        </is>
      </c>
      <c r="B9" t="inlineStr">
        <is>
          <t>Exception handler</t>
        </is>
      </c>
      <c r="C9" s="4" t="n">
        <v>30</v>
      </c>
      <c r="D9" t="inlineStr">
        <is>
          <t>per_customer_month</t>
        </is>
      </c>
      <c r="E9" s="4" t="n">
        <v>0.0016667</v>
      </c>
      <c r="F9" s="13">
        <f>'2 Customers'!$B$9</f>
        <v/>
      </c>
      <c r="G9" s="17">
        <f>C9/60*F9*E9</f>
        <v/>
      </c>
      <c r="H9" s="2" t="inlineStr">
        <is>
          <t>⚠ 2,000 events × 0.5 hours (C2)</t>
        </is>
      </c>
    </row>
    <row r="10">
      <c r="A10" t="inlineStr">
        <is>
          <t>Limit history query</t>
        </is>
      </c>
      <c r="B10" t="inlineStr">
        <is>
          <t>Exception handler</t>
        </is>
      </c>
      <c r="C10" s="4" t="n">
        <v>15</v>
      </c>
      <c r="D10" t="inlineStr">
        <is>
          <t>per_customer_month</t>
        </is>
      </c>
      <c r="E10" s="4" t="n">
        <v>0.0055542</v>
      </c>
      <c r="F10" s="13">
        <f>'2 Customers'!$B$9</f>
        <v/>
      </c>
      <c r="G10" s="17">
        <f>C10/60*F10*E10</f>
        <v/>
      </c>
      <c r="H10" s="2" t="inlineStr">
        <is>
          <t>⚠ 3,330–10,000 events × 0.25 hours (C4); the central count 6,665</t>
        </is>
      </c>
    </row>
    <row r="11">
      <c r="A11" t="inlineStr">
        <is>
          <t>Funding query — why a payment was or was not funded</t>
        </is>
      </c>
      <c r="B11" t="inlineStr">
        <is>
          <t>Exception handler</t>
        </is>
      </c>
      <c r="C11" s="4" t="n">
        <v>15</v>
      </c>
      <c r="D11" t="inlineStr">
        <is>
          <t>per_customer_month</t>
        </is>
      </c>
      <c r="E11" s="4" t="n">
        <v>0.00090417</v>
      </c>
      <c r="F11" s="13">
        <f>'2 Customers'!$B$9</f>
        <v/>
      </c>
      <c r="G11" s="17">
        <f>C11/60*F11*E11</f>
        <v/>
      </c>
      <c r="H11" s="2" t="inlineStr">
        <is>
          <t>⚠ 270–1,900 events × 0.25 hours (C5); the central count 1,085</t>
        </is>
      </c>
    </row>
    <row r="12">
      <c r="A12" t="inlineStr">
        <is>
          <t>Charge query</t>
        </is>
      </c>
      <c r="B12" t="inlineStr">
        <is>
          <t>Exception handler</t>
        </is>
      </c>
      <c r="C12" s="4" t="n">
        <v>15</v>
      </c>
      <c r="D12" t="inlineStr">
        <is>
          <t>per_customer_month</t>
        </is>
      </c>
      <c r="E12" s="4" t="n">
        <v>0.00029167</v>
      </c>
      <c r="F12" s="13">
        <f>'2 Customers'!$B$9</f>
        <v/>
      </c>
      <c r="G12" s="17">
        <f>C12/60*F12*E12</f>
        <v/>
      </c>
      <c r="H12" s="2" t="inlineStr">
        <is>
          <t>⚠ 200–500 events × 0.25 hours (C6); the central count 350</t>
        </is>
      </c>
    </row>
    <row r="13">
      <c r="A13" t="inlineStr">
        <is>
          <t>Display query — the credit line as shown by a third-party provider</t>
        </is>
      </c>
      <c r="B13" t="inlineStr">
        <is>
          <t>Exception handler</t>
        </is>
      </c>
      <c r="C13" s="4" t="n">
        <v>15</v>
      </c>
      <c r="D13" t="inlineStr">
        <is>
          <t>per_customer_month</t>
        </is>
      </c>
      <c r="E13" s="4" t="n">
        <v>0.00035417</v>
      </c>
      <c r="F13" s="13">
        <f>'2 Customers'!$B$9</f>
        <v/>
      </c>
      <c r="G13" s="17">
        <f>C13/60*F13*E13</f>
        <v/>
      </c>
      <c r="H13" s="2" t="inlineStr">
        <is>
          <t>⚠ 150–700 events × 0.25 hours (C7); the central count 425</t>
        </is>
      </c>
    </row>
    <row r="14">
      <c r="A14" t="inlineStr">
        <is>
          <t>Seasoning query — why the limit rose or did not</t>
        </is>
      </c>
      <c r="B14" t="inlineStr">
        <is>
          <t>Exception handler</t>
        </is>
      </c>
      <c r="C14" s="4" t="n">
        <v>15</v>
      </c>
      <c r="D14" t="inlineStr">
        <is>
          <t>per_customer_month</t>
        </is>
      </c>
      <c r="E14" s="4" t="n">
        <v>0.00083333</v>
      </c>
      <c r="F14" s="13">
        <f>'2 Customers'!$B$9</f>
        <v/>
      </c>
      <c r="G14" s="17">
        <f>C14/60*F14*E14</f>
        <v/>
      </c>
      <c r="H14" s="2" t="inlineStr">
        <is>
          <t>⚠ 500–1,500 events × 0.25 hours (C8); the central count 1,000</t>
        </is>
      </c>
    </row>
    <row r="15">
      <c r="A15" t="inlineStr">
        <is>
          <t>Supervise the cell — one lead per cell</t>
        </is>
      </c>
      <c r="B15" t="inlineStr">
        <is>
          <t>Cell lead</t>
        </is>
      </c>
      <c r="C15" s="4" t="n">
        <v>7500</v>
      </c>
      <c r="D15" t="inlineStr">
        <is>
          <t>per_unit_month</t>
        </is>
      </c>
      <c r="E15" s="4" t="n">
        <v>1</v>
      </c>
      <c r="F15" s="13">
        <f>1</f>
        <v/>
      </c>
      <c r="G15" s="17">
        <f>C15/60*F15*E15</f>
        <v/>
      </c>
      <c r="H15" s="2" t="inlineStr">
        <is>
          <t>one full-time lead (125 hours a month) per cell, AOM v10 §3b</t>
        </is>
      </c>
    </row>
    <row r="17">
      <c r="A17" s="5" t="inlineStr">
        <is>
          <t>Role</t>
        </is>
      </c>
      <c r="B17" s="5" t="inlineStr">
        <is>
          <t>Hours per month</t>
        </is>
      </c>
      <c r="C17" s="5" t="inlineStr">
        <is>
          <t>Available hours per person</t>
        </is>
      </c>
      <c r="D17" s="5" t="inlineStr">
        <is>
          <t>Headcount (rounded up)</t>
        </is>
      </c>
      <c r="E17" s="5" t="inlineStr">
        <is>
          <t>Monthly cost per person</t>
        </is>
      </c>
      <c r="F17" s="5" t="inlineStr">
        <is>
          <t>Role cost per month</t>
        </is>
      </c>
      <c r="G17" s="5" t="inlineStr">
        <is>
          <t>Utilisation</t>
        </is>
      </c>
      <c r="H17" s="5" t="inlineStr"/>
    </row>
    <row r="18">
      <c r="A18" t="inlineStr">
        <is>
          <t>Exception handler</t>
        </is>
      </c>
      <c r="B18" s="17">
        <f>SUMIF($B$5:$B$15,A18,$G$5:$G$15)</f>
        <v/>
      </c>
      <c r="C18" s="13">
        <f>'1 Master'!$B$15</f>
        <v/>
      </c>
      <c r="D18" s="13">
        <f>ROUNDUP(B18/C18,0)</f>
        <v/>
      </c>
      <c r="E18" s="14">
        <f>'1 Master'!$B$16</f>
        <v/>
      </c>
      <c r="F18" s="14">
        <f>D18*E18</f>
        <v/>
      </c>
      <c r="G18" s="9">
        <f>IF(D18=0,0,B18/(C18*D18))</f>
        <v/>
      </c>
    </row>
    <row r="19">
      <c r="A19" t="inlineStr">
        <is>
          <t>Cell lead</t>
        </is>
      </c>
      <c r="B19" s="17">
        <f>SUMIF($B$5:$B$15,A19,$G$5:$G$15)</f>
        <v/>
      </c>
      <c r="C19" s="13">
        <f>'1 Master'!$B$15</f>
        <v/>
      </c>
      <c r="D19" s="13">
        <f>ROUNDUP(B19/C19,0)</f>
        <v/>
      </c>
      <c r="E19" s="14">
        <f>'1 Master'!$B$17</f>
        <v/>
      </c>
      <c r="F19" s="14">
        <f>D19*E19</f>
        <v/>
      </c>
      <c r="G19" s="9">
        <f>IF(D19=0,0,B19/(C19*D19))</f>
        <v/>
      </c>
    </row>
    <row r="20">
      <c r="A20" s="3" t="inlineStr">
        <is>
          <t>Unit total</t>
        </is>
      </c>
      <c r="D20" s="15">
        <f>SUM(D18:D19)</f>
        <v/>
      </c>
      <c r="F20" s="16">
        <f>SUM(F18:F19)</f>
        <v/>
      </c>
    </row>
    <row r="22">
      <c r="A22" s="3" t="inlineStr">
        <is>
          <t>Head office</t>
        </is>
      </c>
    </row>
    <row r="23">
      <c r="A23" s="5" t="inlineStr">
        <is>
          <t>Role</t>
        </is>
      </c>
      <c r="B23" s="5" t="inlineStr">
        <is>
          <t>Count</t>
        </is>
      </c>
      <c r="C23" s="5" t="inlineStr">
        <is>
          <t>Monthly cost per person</t>
        </is>
      </c>
      <c r="D23" s="5" t="inlineStr">
        <is>
          <t>Cost per month</t>
        </is>
      </c>
      <c r="E23" s="5" t="inlineStr"/>
      <c r="F23" s="5" t="inlineStr"/>
      <c r="G23" s="5" t="inlineStr"/>
      <c r="H23" s="5" t="inlineStr"/>
    </row>
    <row r="24">
      <c r="A24" t="inlineStr">
        <is>
          <t>Limit engine and data team</t>
        </is>
      </c>
      <c r="B24" s="4" t="n">
        <v>25</v>
      </c>
      <c r="C24" s="18">
        <f>'1 Master'!$B$18</f>
        <v/>
      </c>
      <c r="D24" s="14">
        <f>B24*C24</f>
        <v/>
      </c>
    </row>
    <row r="25">
      <c r="A25" t="inlineStr">
        <is>
          <t>Model risk</t>
        </is>
      </c>
      <c r="B25" s="4" t="n">
        <v>10</v>
      </c>
      <c r="C25" s="18">
        <f>'1 Master'!$B$19</f>
        <v/>
      </c>
      <c r="D25" s="14">
        <f>B25*C25</f>
        <v/>
      </c>
    </row>
    <row r="26">
      <c r="A26" t="inlineStr">
        <is>
          <t>Product</t>
        </is>
      </c>
      <c r="B26" s="4" t="n">
        <v>13</v>
      </c>
      <c r="C26" s="18">
        <f>'1 Master'!$B$20</f>
        <v/>
      </c>
      <c r="D26" s="14">
        <f>B26*C26</f>
        <v/>
      </c>
    </row>
    <row r="27">
      <c r="A27" s="3" t="inlineStr">
        <is>
          <t>Head office staff total</t>
        </is>
      </c>
      <c r="D27" s="16">
        <f>SUM(D24:D26)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34" customWidth="1" min="1" max="1"/>
    <col width="14" customWidth="1" min="2" max="2"/>
    <col width="12" customWidth="1" min="3" max="3"/>
    <col width="16" customWidth="1" min="4" max="4"/>
    <col width="12" customWidth="1" min="5" max="5"/>
    <col width="16" customWidth="1" min="6" max="6"/>
    <col width="16" customWidth="1" min="7" max="7"/>
  </cols>
  <sheetData>
    <row r="1">
      <c r="A1" s="1" t="inlineStr">
        <is>
          <t>Capital assets — cost, life, quantity, monthly depreciation</t>
        </is>
      </c>
    </row>
    <row r="2">
      <c r="A2" s="2" t="inlineStr">
        <is>
          <t>Depreciation per month = cost × quantity ÷ life in months. IFC step 2.</t>
        </is>
      </c>
    </row>
    <row r="4">
      <c r="A4" s="5" t="inlineStr">
        <is>
          <t>Asset (operating unit)</t>
        </is>
      </c>
      <c r="B4" s="5" t="inlineStr">
        <is>
          <t>Cost</t>
        </is>
      </c>
      <c r="C4" s="5" t="inlineStr">
        <is>
          <t>Life (months)</t>
        </is>
      </c>
      <c r="D4" s="5" t="inlineStr">
        <is>
          <t>Quantity driver</t>
        </is>
      </c>
      <c r="E4" s="5" t="inlineStr">
        <is>
          <t>Quantity</t>
        </is>
      </c>
      <c r="F4" s="5" t="inlineStr">
        <is>
          <t>Capital cost</t>
        </is>
      </c>
      <c r="G4" s="5" t="inlineStr">
        <is>
          <t>Depreciation per month</t>
        </is>
      </c>
    </row>
    <row r="5">
      <c r="A5" s="3" t="inlineStr">
        <is>
          <t>Unit total</t>
        </is>
      </c>
      <c r="F5" s="14">
        <f>0</f>
        <v/>
      </c>
      <c r="G5" s="14">
        <f>0</f>
        <v/>
      </c>
    </row>
    <row r="7">
      <c r="A7" s="5" t="inlineStr">
        <is>
          <t>Asset (head office)</t>
        </is>
      </c>
      <c r="B7" s="5" t="inlineStr">
        <is>
          <t>Cost</t>
        </is>
      </c>
      <c r="C7" s="5" t="inlineStr">
        <is>
          <t>Life (months)</t>
        </is>
      </c>
      <c r="D7" s="5" t="inlineStr"/>
      <c r="E7" s="5" t="inlineStr">
        <is>
          <t>Quantity</t>
        </is>
      </c>
      <c r="F7" s="5" t="inlineStr">
        <is>
          <t>Capital cost</t>
        </is>
      </c>
      <c r="G7" s="5" t="inlineStr">
        <is>
          <t>Depreciation per month</t>
        </is>
      </c>
    </row>
    <row r="8">
      <c r="A8" s="3" t="inlineStr">
        <is>
          <t>Head office total</t>
        </is>
      </c>
      <c r="F8" s="14">
        <f>0</f>
        <v/>
      </c>
      <c r="G8" s="14">
        <f>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8" customWidth="1" min="1" max="1"/>
    <col width="20" customWidth="1" min="2" max="2"/>
    <col width="14" customWidth="1" min="3" max="3"/>
    <col width="18" customWidth="1" min="4" max="4"/>
    <col width="16" customWidth="1" min="5" max="5"/>
  </cols>
  <sheetData>
    <row r="1">
      <c r="A1" s="1" t="inlineStr">
        <is>
          <t>General running costs — driver-linked</t>
        </is>
      </c>
    </row>
    <row r="2">
      <c r="A2" s="2" t="inlineStr">
        <is>
          <t>Cost per month = amount × driver quantity. IFC step 2.</t>
        </is>
      </c>
    </row>
    <row r="4">
      <c r="A4" s="5" t="inlineStr">
        <is>
          <t>Item (operating unit)</t>
        </is>
      </c>
      <c r="B4" s="5" t="inlineStr">
        <is>
          <t>Driver</t>
        </is>
      </c>
      <c r="C4" s="5" t="inlineStr">
        <is>
          <t>Amount</t>
        </is>
      </c>
      <c r="D4" s="5" t="inlineStr">
        <is>
          <t>Driver quantity</t>
        </is>
      </c>
      <c r="E4" s="5" t="inlineStr">
        <is>
          <t>Cost per month</t>
        </is>
      </c>
    </row>
    <row r="5">
      <c r="A5" t="inlineStr">
        <is>
          <t>Expected credit loss on the drawn balance</t>
        </is>
      </c>
      <c r="B5" t="inlineStr">
        <is>
          <t>per_transaction</t>
        </is>
      </c>
      <c r="C5" s="12">
        <f>'1 Master'!$B$21</f>
        <v/>
      </c>
      <c r="D5" s="13">
        <f>'2 Customers'!$B$10</f>
        <v/>
      </c>
      <c r="E5" s="14">
        <f>C5*D5</f>
        <v/>
      </c>
    </row>
    <row r="6">
      <c r="A6" t="inlineStr">
        <is>
          <t>Computing and payments in the account line</t>
        </is>
      </c>
      <c r="B6" t="inlineStr">
        <is>
          <t>per_transaction</t>
        </is>
      </c>
      <c r="C6" s="12">
        <f>'1 Master'!$B$22</f>
        <v/>
      </c>
      <c r="D6" s="13">
        <f>'2 Customers'!$B$10</f>
        <v/>
      </c>
      <c r="E6" s="14">
        <f>C6*D6</f>
        <v/>
      </c>
    </row>
    <row r="7">
      <c r="A7" t="inlineStr">
        <is>
          <t>Write-off administration and legal</t>
        </is>
      </c>
      <c r="B7" t="inlineStr">
        <is>
          <t>per_transaction</t>
        </is>
      </c>
      <c r="C7" s="12">
        <f>'1 Master'!$B$23</f>
        <v/>
      </c>
      <c r="D7" s="13">
        <f>'2 Customers'!$B$10</f>
        <v/>
      </c>
      <c r="E7" s="14">
        <f>C7*D7</f>
        <v/>
      </c>
    </row>
    <row r="8">
      <c r="A8" t="inlineStr">
        <is>
          <t>Cell tooling — case system and telephony</t>
        </is>
      </c>
      <c r="B8" t="inlineStr">
        <is>
          <t>per_unit_month</t>
        </is>
      </c>
      <c r="C8" s="12">
        <f>'1 Master'!$B$24</f>
        <v/>
      </c>
      <c r="D8" s="13">
        <f>1</f>
        <v/>
      </c>
      <c r="E8" s="14">
        <f>C8*D8</f>
        <v/>
      </c>
    </row>
    <row r="9">
      <c r="A9" t="inlineStr">
        <is>
          <t>Shared trainer</t>
        </is>
      </c>
      <c r="B9" t="inlineStr">
        <is>
          <t>per_unit_month</t>
        </is>
      </c>
      <c r="C9" s="12">
        <f>'1 Master'!$B$25</f>
        <v/>
      </c>
      <c r="D9" s="13">
        <f>1</f>
        <v/>
      </c>
      <c r="E9" s="14">
        <f>C9*D9</f>
        <v/>
      </c>
    </row>
    <row r="10">
      <c r="A10" s="3" t="inlineStr">
        <is>
          <t>Unit total</t>
        </is>
      </c>
      <c r="E10" s="14">
        <f>SUM(E5:E9)</f>
        <v/>
      </c>
    </row>
    <row r="11">
      <c r="A11" t="inlineStr">
        <is>
          <t>of which fixed per month (per unit and per head drivers)</t>
        </is>
      </c>
      <c r="E11" s="14">
        <f>SUMIF(B5:B9,"per_unit_month",E5:E9)+SUMIF(B5:B9,"per_head",E5:E9)</f>
        <v/>
      </c>
    </row>
    <row r="12">
      <c r="A12" t="inlineStr">
        <is>
          <t>of which varies with volume</t>
        </is>
      </c>
      <c r="E12" s="14">
        <f>E10-E11</f>
        <v/>
      </c>
    </row>
    <row r="14">
      <c r="A14" s="5" t="inlineStr">
        <is>
          <t>Item (head office)</t>
        </is>
      </c>
      <c r="B14" s="5" t="inlineStr"/>
      <c r="C14" s="5" t="inlineStr">
        <is>
          <t>Amount per month</t>
        </is>
      </c>
      <c r="D14" s="5" t="inlineStr"/>
      <c r="E14" s="5" t="inlineStr">
        <is>
          <t>Cost per month</t>
        </is>
      </c>
    </row>
    <row r="15">
      <c r="A15" t="inlineStr">
        <is>
          <t>Technology run — the limit engine</t>
        </is>
      </c>
      <c r="C15" s="18">
        <f>'1 Master'!$B$26</f>
        <v/>
      </c>
      <c r="E15" s="14">
        <f>C15</f>
        <v/>
      </c>
    </row>
    <row r="16">
      <c r="A16" t="inlineStr">
        <is>
          <t>Fraud monitoring on funded events</t>
        </is>
      </c>
      <c r="C16" s="18">
        <f>'1 Master'!$B$27</f>
        <v/>
      </c>
      <c r="E16" s="14">
        <f>C16</f>
        <v/>
      </c>
    </row>
    <row r="17">
      <c r="A17" t="inlineStr">
        <is>
          <t>Other head-office people (the all-people total less the named teams)</t>
        </is>
      </c>
      <c r="C17" s="18">
        <f>'1 Master'!$B$28</f>
        <v/>
      </c>
      <c r="E17" s="14">
        <f>C17</f>
        <v/>
      </c>
    </row>
    <row r="18">
      <c r="A18" t="inlineStr">
        <is>
          <t>Standby securitisation route — annual upkeep</t>
        </is>
      </c>
      <c r="C18" s="18">
        <f>'1 Master'!$B$29</f>
        <v/>
      </c>
      <c r="E18" s="14">
        <f>C18</f>
        <v/>
      </c>
    </row>
    <row r="19">
      <c r="A19" t="inlineStr">
        <is>
          <t>Reserve against the assumed head-office count</t>
        </is>
      </c>
      <c r="C19" s="18">
        <f>'1 Master'!$B$30</f>
        <v/>
      </c>
      <c r="E19" s="14">
        <f>C19</f>
        <v/>
      </c>
    </row>
    <row r="20">
      <c r="A20" s="3" t="inlineStr">
        <is>
          <t>Head office total</t>
        </is>
      </c>
      <c r="E20" s="14">
        <f>SUM(E15:E19)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52" customWidth="1" min="1" max="1"/>
    <col width="16" customWidth="1" min="2" max="2"/>
    <col width="50" customWidth="1" min="3" max="3"/>
  </cols>
  <sheetData>
    <row r="1">
      <c r="A1" s="1" t="inlineStr">
        <is>
          <t>Start-up working capital and development costs</t>
        </is>
      </c>
    </row>
    <row r="2">
      <c r="A2" s="2" t="inlineStr">
        <is>
          <t>One-time costs plus working capital, spread over the investment recovery period. IFC step 3.</t>
        </is>
      </c>
    </row>
    <row r="4">
      <c r="A4" s="5" t="inlineStr">
        <is>
          <t>Item (operating unit, one-time)</t>
        </is>
      </c>
      <c r="B4" s="5" t="inlineStr">
        <is>
          <t>Cost</t>
        </is>
      </c>
      <c r="C4" s="5" t="inlineStr">
        <is>
          <t>Note</t>
        </is>
      </c>
    </row>
    <row r="5">
      <c r="A5" t="inlineStr">
        <is>
          <t>One-time start-up costs per unit</t>
        </is>
      </c>
      <c r="B5" s="14">
        <f>0</f>
        <v/>
      </c>
      <c r="C5" s="2" t="inlineStr"/>
    </row>
    <row r="6">
      <c r="A6" t="inlineStr">
        <is>
          <t>Working capital = months × (cost of goods + staff + running) per month</t>
        </is>
      </c>
      <c r="B6" s="14">
        <f>'1 Master'!$B$40*('2 Customers'!$G$15+'3 HR'!$F$20+'5 Running'!$E$10)</f>
        <v/>
      </c>
      <c r="C6" s="2" t="inlineStr">
        <is>
          <t>cash the unit needs before revenue covers running cost</t>
        </is>
      </c>
    </row>
    <row r="7">
      <c r="A7" t="inlineStr">
        <is>
          <t>Start-up total per unit</t>
        </is>
      </c>
      <c r="B7" s="14">
        <f>B5+B6</f>
        <v/>
      </c>
      <c r="C7" s="2" t="inlineStr"/>
    </row>
    <row r="8">
      <c r="A8" t="inlineStr">
        <is>
          <t>Investment recovery period (months)</t>
        </is>
      </c>
      <c r="B8" s="14">
        <f>'1 Master'!$B$41</f>
        <v/>
      </c>
      <c r="C8" s="2" t="inlineStr"/>
    </row>
    <row r="9">
      <c r="A9" t="inlineStr">
        <is>
          <t>Start-up charge per unit per month = total ÷ period</t>
        </is>
      </c>
      <c r="B9" s="14">
        <f>B7/B8</f>
        <v/>
      </c>
      <c r="C9" s="2" t="inlineStr">
        <is>
          <t>IFC step 3</t>
        </is>
      </c>
    </row>
    <row r="11">
      <c r="A11" s="5" t="inlineStr">
        <is>
          <t>Item (head office development, one-time)</t>
        </is>
      </c>
      <c r="B11" s="5" t="inlineStr">
        <is>
          <t>Cost</t>
        </is>
      </c>
      <c r="C11" s="5" t="inlineStr">
        <is>
          <t>Note</t>
        </is>
      </c>
    </row>
    <row r="12">
      <c r="A12" t="inlineStr">
        <is>
          <t>Stage 0 back-test on the bank's own account history</t>
        </is>
      </c>
      <c r="B12" s="18">
        <f>'1 Master'!$B$31</f>
        <v/>
      </c>
    </row>
    <row r="13">
      <c r="A13" t="inlineStr">
        <is>
          <t>Outcome ledger build</t>
        </is>
      </c>
      <c r="B13" s="18">
        <f>'1 Master'!$B$32</f>
        <v/>
      </c>
    </row>
    <row r="14">
      <c r="A14" t="inlineStr">
        <is>
          <t>Seasoning schedule build</t>
        </is>
      </c>
      <c r="B14" s="18">
        <f>'1 Master'!$B$33</f>
        <v/>
      </c>
    </row>
    <row r="15">
      <c r="A15" t="inlineStr">
        <is>
          <t>Credit-line element build and conformance test</t>
        </is>
      </c>
      <c r="B15" s="18">
        <f>'1 Master'!$B$34</f>
        <v/>
      </c>
    </row>
    <row r="16">
      <c r="A16" t="inlineStr">
        <is>
          <t>Funding term</t>
        </is>
      </c>
      <c r="B16" s="18">
        <f>'1 Master'!$B$35</f>
        <v/>
      </c>
    </row>
    <row r="17">
      <c r="A17" t="inlineStr">
        <is>
          <t>Migration notices to the accounts moving to the levelled line</t>
        </is>
      </c>
      <c r="B17" s="18">
        <f>'1 Master'!$B$36</f>
        <v/>
      </c>
    </row>
    <row r="18">
      <c r="A18" t="inlineStr">
        <is>
          <t>Stage readings at each release gate</t>
        </is>
      </c>
      <c r="B18" s="18">
        <f>'1 Master'!$B$37</f>
        <v/>
      </c>
    </row>
    <row r="19">
      <c r="A19" t="inlineStr">
        <is>
          <t>Standby securitisation route — documentation and set-up</t>
        </is>
      </c>
      <c r="B19" s="18">
        <f>'1 Master'!$B$38</f>
        <v/>
      </c>
    </row>
    <row r="20">
      <c r="A20" t="inlineStr">
        <is>
          <t>Carrying cost of the pool overlays during release</t>
        </is>
      </c>
      <c r="B20" s="18">
        <f>'1 Master'!$B$39</f>
        <v/>
      </c>
    </row>
    <row r="21">
      <c r="A21" t="inlineStr">
        <is>
          <t>Development total</t>
        </is>
      </c>
      <c r="B21" s="14">
        <f>SUM(B12:B20)</f>
        <v/>
      </c>
    </row>
    <row r="22">
      <c r="A22" t="inlineStr">
        <is>
          <t>Development charge per month = total ÷ period</t>
        </is>
      </c>
      <c r="B22" s="14">
        <f>B21/'1 Master'!$B$41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6" customWidth="1" min="1" max="1"/>
    <col width="16" customWidth="1" min="2" max="2"/>
    <col width="40" customWidth="1" min="3" max="3"/>
  </cols>
  <sheetData>
    <row r="1">
      <c r="A1" s="1" t="inlineStr">
        <is>
          <t>Investment returns</t>
        </is>
      </c>
    </row>
    <row r="2">
      <c r="A2" s="2" t="inlineStr">
        <is>
          <t>Return per month = (start-up + capital assets + capital held against the book) × cost of capital ÷ 12. IFC step 3.</t>
        </is>
      </c>
    </row>
    <row r="4">
      <c r="A4" t="inlineStr">
        <is>
          <t>Loan book one unit carries = transactions × balance lent per transaction</t>
        </is>
      </c>
      <c r="B4" s="14">
        <f>'2 Customers'!$B$10*'1 Master'!$B$46</f>
        <v/>
      </c>
    </row>
    <row r="5">
      <c r="A5" t="inlineStr">
        <is>
          <t>Capital held against the book = book × capital share (the rest is deposit-funded)</t>
        </is>
      </c>
      <c r="B5" s="14">
        <f>B4*'1 Master'!$B$47</f>
        <v/>
      </c>
    </row>
    <row r="6">
      <c r="A6" t="inlineStr">
        <is>
          <t>Operating unit: capital invested = start-up + capital assets + capital held against the book</t>
        </is>
      </c>
      <c r="B6" s="14">
        <f>'6 Start-up'!$B$7+'4 Depreciation'!$F$5+B5</f>
        <v/>
      </c>
    </row>
    <row r="7">
      <c r="A7" t="inlineStr">
        <is>
          <t>Cost of capital (annual)</t>
        </is>
      </c>
      <c r="B7" s="9">
        <f>'1 Master'!$B$42</f>
        <v/>
      </c>
    </row>
    <row r="8">
      <c r="A8" t="inlineStr">
        <is>
          <t>Return required per unit per month</t>
        </is>
      </c>
      <c r="B8" s="14">
        <f>B6*B7/12</f>
        <v/>
      </c>
    </row>
    <row r="9">
      <c r="A9" t="inlineStr">
        <is>
          <t>Head office: capital invested = development + capital assets</t>
        </is>
      </c>
      <c r="B9" s="14">
        <f>'6 Start-up'!$B$21+'4 Depreciation'!$F$8</f>
        <v/>
      </c>
    </row>
    <row r="10">
      <c r="A10" t="inlineStr">
        <is>
          <t>Return required at head office per month</t>
        </is>
      </c>
      <c r="B10" s="14">
        <f>B9*B7/12</f>
        <v/>
      </c>
    </row>
    <row r="11">
      <c r="A11" t="inlineStr">
        <is>
          <t>Loan book at scale = units × book per unit</t>
        </is>
      </c>
      <c r="B11" s="14">
        <f>'2 Customers'!$B$6*B4</f>
        <v/>
      </c>
    </row>
    <row r="12">
      <c r="A12" t="inlineStr">
        <is>
          <t>Capital held against the book at scale = units × capital per unit</t>
        </is>
      </c>
      <c r="B12" s="14">
        <f>'2 Customers'!$B$6*B5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6" customWidth="1" min="1" max="1"/>
    <col width="16" customWidth="1" min="2" max="2"/>
  </cols>
  <sheetData>
    <row r="1">
      <c r="A1" s="1" t="inlineStr">
        <is>
          <t>Tax on investment returns</t>
        </is>
      </c>
    </row>
    <row r="2">
      <c r="A2" s="2" t="inlineStr">
        <is>
          <t>Tax per month = return per month × tax rate. IFC step 3.</t>
        </is>
      </c>
    </row>
    <row r="4">
      <c r="A4" t="inlineStr">
        <is>
          <t>Tax rate</t>
        </is>
      </c>
      <c r="B4" s="9">
        <f>'1 Master'!$B$43</f>
        <v/>
      </c>
    </row>
    <row r="5">
      <c r="A5" t="inlineStr">
        <is>
          <t>Tax per unit per month</t>
        </is>
      </c>
      <c r="B5" s="14">
        <f>'7 Returns'!$B$8*B4</f>
        <v/>
      </c>
    </row>
    <row r="6">
      <c r="A6" t="inlineStr">
        <is>
          <t>Tax at head office per month</t>
        </is>
      </c>
      <c r="B6" s="14">
        <f>'7 Returns'!$B$10*B4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6" customWidth="1" min="1" max="1"/>
    <col width="16" customWidth="1" min="2" max="2"/>
    <col width="14" customWidth="1" min="3" max="3"/>
    <col width="30" customWidth="1" min="4" max="4"/>
  </cols>
  <sheetData>
    <row r="1">
      <c r="A1" s="1" t="inlineStr">
        <is>
          <t>Operating unit — whole cost structure per month</t>
        </is>
      </c>
    </row>
    <row r="2">
      <c r="A2" s="2" t="inlineStr">
        <is>
          <t>Every cost the unit carries, including its share of head office. IFC step 4 input.</t>
        </is>
      </c>
    </row>
    <row r="4">
      <c r="A4" s="5" t="inlineStr">
        <is>
          <t>Line</t>
        </is>
      </c>
      <c r="B4" s="5" t="inlineStr">
        <is>
          <t>Per month</t>
        </is>
      </c>
      <c r="C4" s="5" t="inlineStr">
        <is>
          <t>Share</t>
        </is>
      </c>
      <c r="D4" s="5" t="inlineStr">
        <is>
          <t>From</t>
        </is>
      </c>
    </row>
    <row r="5">
      <c r="A5" t="inlineStr">
        <is>
          <t>Cost of goods</t>
        </is>
      </c>
      <c r="B5" s="14">
        <f>'2 Customers'!$G$15</f>
        <v/>
      </c>
      <c r="C5" s="9">
        <f>B5/$B$17</f>
        <v/>
      </c>
      <c r="D5" s="2" t="inlineStr">
        <is>
          <t>2 Customers</t>
        </is>
      </c>
    </row>
    <row r="6">
      <c r="A6" t="inlineStr">
        <is>
          <t>Staff</t>
        </is>
      </c>
      <c r="B6" s="14">
        <f>'3 HR'!$F$20</f>
        <v/>
      </c>
      <c r="C6" s="9">
        <f>B6/$B$17</f>
        <v/>
      </c>
      <c r="D6" s="2" t="inlineStr">
        <is>
          <t>3 HR</t>
        </is>
      </c>
    </row>
    <row r="7">
      <c r="A7" t="inlineStr">
        <is>
          <t>Depreciation</t>
        </is>
      </c>
      <c r="B7" s="14">
        <f>'4 Depreciation'!$G$5</f>
        <v/>
      </c>
      <c r="C7" s="9">
        <f>B7/$B$17</f>
        <v/>
      </c>
      <c r="D7" s="2" t="inlineStr">
        <is>
          <t>4 Depreciation</t>
        </is>
      </c>
    </row>
    <row r="8">
      <c r="A8" t="inlineStr">
        <is>
          <t>General running</t>
        </is>
      </c>
      <c r="B8" s="14">
        <f>'5 Running'!$E$10</f>
        <v/>
      </c>
      <c r="C8" s="9">
        <f>B8/$B$17</f>
        <v/>
      </c>
      <c r="D8" s="2" t="inlineStr">
        <is>
          <t>5 Running</t>
        </is>
      </c>
    </row>
    <row r="9">
      <c r="A9" t="inlineStr">
        <is>
          <t>Start-up charge</t>
        </is>
      </c>
      <c r="B9" s="14">
        <f>'6 Start-up'!$B$9</f>
        <v/>
      </c>
      <c r="C9" s="9">
        <f>B9/$B$17</f>
        <v/>
      </c>
      <c r="D9" s="2" t="inlineStr">
        <is>
          <t>6 Start-up</t>
        </is>
      </c>
    </row>
    <row r="10">
      <c r="A10" t="inlineStr">
        <is>
          <t>Investment return</t>
        </is>
      </c>
      <c r="B10" s="14">
        <f>'7 Returns'!$B$8</f>
        <v/>
      </c>
      <c r="C10" s="9">
        <f>B10/$B$17</f>
        <v/>
      </c>
      <c r="D10" s="2" t="inlineStr">
        <is>
          <t>7 Returns</t>
        </is>
      </c>
    </row>
    <row r="11">
      <c r="A11" t="inlineStr">
        <is>
          <t>Tax</t>
        </is>
      </c>
      <c r="B11" s="14">
        <f>'8 Tax'!$B$5</f>
        <v/>
      </c>
      <c r="C11" s="9">
        <f>B11/$B$17</f>
        <v/>
      </c>
      <c r="D11" s="2" t="inlineStr">
        <is>
          <t>8 Tax</t>
        </is>
      </c>
    </row>
    <row r="12">
      <c r="A12" s="3" t="inlineStr">
        <is>
          <t>Unit's own costs</t>
        </is>
      </c>
      <c r="B12" s="16">
        <f>SUM(B5:B11)</f>
        <v/>
      </c>
    </row>
    <row r="13">
      <c r="A13" t="inlineStr">
        <is>
          <t>Head office costs per month</t>
        </is>
      </c>
      <c r="B13" s="14">
        <f>'3 HR'!$D$27+'5 Running'!$E$20+'4 Depreciation'!$G$8+'6 Start-up'!$B$22+'7 Returns'!$B$10+'8 Tax'!$B$6</f>
        <v/>
      </c>
    </row>
    <row r="14">
      <c r="A14" t="inlineStr">
        <is>
          <t>Head office target profit = head office costs × target margin</t>
        </is>
      </c>
      <c r="B14" s="14">
        <f>B13*'1 Master'!$B$44</f>
        <v/>
      </c>
    </row>
    <row r="15">
      <c r="A15" s="3" t="inlineStr">
        <is>
          <t>Head office total per month</t>
        </is>
      </c>
      <c r="B15" s="16">
        <f>B13+B14</f>
        <v/>
      </c>
    </row>
    <row r="16">
      <c r="A16" t="inlineStr">
        <is>
          <t>Head office allocated per unit = total ÷ number of units</t>
        </is>
      </c>
      <c r="B16" s="14">
        <f>B15/'2 Customers'!$B$6</f>
        <v/>
      </c>
      <c r="C16" s="9">
        <f>B16/$B$17</f>
        <v/>
      </c>
    </row>
    <row r="17">
      <c r="A17" s="3" t="inlineStr">
        <is>
          <t>Whole cost per unit per month</t>
        </is>
      </c>
      <c r="B17" s="16">
        <f>B12+B16</f>
        <v/>
      </c>
    </row>
    <row r="18">
      <c r="A18" s="3" t="inlineStr">
        <is>
          <t>Whole cost per transaction = whole cost ÷ transactions</t>
        </is>
      </c>
      <c r="B18" s="19">
        <f>B17/'2 Customers'!$B$10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s>
  <sheetData>
    <row r="1">
      <c r="A1" s="1" t="inlineStr">
        <is>
          <t>Pricing — cost floor, interim price, margin of safety, required price</t>
        </is>
      </c>
    </row>
    <row r="2">
      <c r="A2" s="2" t="inlineStr">
        <is>
          <t>Margin of safety = (price − cost) ÷ cost. Gate: 25% or more passes; 15% to 24% borderline; under 15% fails. Required price = cost × (1 + target margin). IFC steps 4 and 5.</t>
        </is>
      </c>
    </row>
    <row r="4">
      <c r="A4" t="inlineStr">
        <is>
          <t>Whole cost per transaction (cost floor)</t>
        </is>
      </c>
      <c r="B4" s="11">
        <f>'9 Unit costs'!$B$18</f>
        <v/>
      </c>
    </row>
    <row r="5">
      <c r="A5" t="inlineStr">
        <is>
          <t>Interim price per transaction (revenue ÷ transactions, at the prices on tab 1)</t>
        </is>
      </c>
      <c r="B5" s="11">
        <f>'2 Customers'!$E$15/'2 Customers'!$B$10</f>
        <v/>
      </c>
    </row>
    <row r="6">
      <c r="A6" s="3" t="inlineStr">
        <is>
          <t>Margin of safety = (price − cost) ÷ cost</t>
        </is>
      </c>
      <c r="B6" s="20">
        <f>(B5-B4)/B4</f>
        <v/>
      </c>
    </row>
    <row r="7">
      <c r="A7" t="inlineStr">
        <is>
          <t>Target margin of safety</t>
        </is>
      </c>
      <c r="B7" s="9">
        <f>'1 Master'!$B$45</f>
        <v/>
      </c>
    </row>
    <row r="8">
      <c r="A8" s="3" t="inlineStr">
        <is>
          <t>Verdict</t>
        </is>
      </c>
      <c r="B8" s="3">
        <f>IF(B6&gt;=0.25,"PASS",IF(B6&gt;=0.15,"BORDERLINE","FAIL"))</f>
        <v/>
      </c>
    </row>
    <row r="9">
      <c r="A9" s="3" t="inlineStr">
        <is>
          <t>Required price per transaction = cost × (1 + target)</t>
        </is>
      </c>
      <c r="B9" s="19">
        <f>B4*(1+B7)</f>
        <v/>
      </c>
    </row>
    <row r="10">
      <c r="A10" t="inlineStr">
        <is>
          <t>Price uplift needed to reach target (required ÷ interim)</t>
        </is>
      </c>
      <c r="B10" s="9">
        <f>B9/B5</f>
        <v/>
      </c>
    </row>
    <row r="11">
      <c r="A11" t="inlineStr">
        <is>
          <t>Margin from failure: margin of safety less the 15% floor (percentage points)</t>
        </is>
      </c>
      <c r="B11" s="9">
        <f>B6-0.15</f>
        <v/>
      </c>
    </row>
    <row r="12">
      <c r="A12" t="inlineStr">
        <is>
          <t>Price fall that takes the margin of safety to the 15% floor</t>
        </is>
      </c>
      <c r="B12" s="11">
        <f>B5-B4*(1+0.15)</f>
        <v/>
      </c>
    </row>
    <row r="14">
      <c r="A14" s="5" t="inlineStr">
        <is>
          <t>Product</t>
        </is>
      </c>
      <c r="B14" s="5" t="inlineStr">
        <is>
          <t>Interim price</t>
        </is>
      </c>
      <c r="C14" s="5" t="inlineStr">
        <is>
          <t>Required price at target</t>
        </is>
      </c>
      <c r="D14" s="5" t="inlineStr">
        <is>
          <t>Share of transactions</t>
        </is>
      </c>
      <c r="E14" s="5" t="inlineStr"/>
    </row>
    <row r="15">
      <c r="A15" t="inlineStr">
        <is>
          <t>Drawn balance, per £1,000 carried for one month</t>
        </is>
      </c>
      <c r="B15" s="11">
        <f>'1 Master'!$B$13</f>
        <v/>
      </c>
      <c r="C15" s="11">
        <f>B15*'10 Pricing'!$B$10</f>
        <v/>
      </c>
      <c r="D15" s="9">
        <f>'1 Master'!$B$12</f>
        <v/>
      </c>
    </row>
    <row r="18">
      <c r="A18" s="2" t="inlineStr">
        <is>
          <t>Sensitivity — one input at a time moved to its adverse end (values computed by the generator from the same inputs; not live — change the scenario on tab 1 to see every band at once)</t>
        </is>
      </c>
    </row>
    <row r="19">
      <c r="A19" s="5" t="inlineStr">
        <is>
          <t>Input</t>
        </is>
      </c>
      <c r="B19" s="5" t="inlineStr">
        <is>
          <t>Adverse end</t>
        </is>
      </c>
      <c r="C19" s="5" t="inlineStr">
        <is>
          <t>Value used</t>
        </is>
      </c>
      <c r="D19" s="5" t="inlineStr">
        <is>
          <t>Margin of safety</t>
        </is>
      </c>
      <c r="E19" s="5" t="inlineStr">
        <is>
          <t>Change from base</t>
        </is>
      </c>
    </row>
    <row r="20">
      <c r="A20" t="inlineStr">
        <is>
          <t>Running cost, operating unit — Expected credit loss on the drawn balance</t>
        </is>
      </c>
      <c r="B20" t="inlineStr">
        <is>
          <t>high</t>
        </is>
      </c>
      <c r="C20" s="6" t="n">
        <v>3.3333</v>
      </c>
      <c r="D20" s="9" t="n">
        <v>0.4799468138621948</v>
      </c>
      <c r="E20" s="9" t="n">
        <v>-0.1749303758439124</v>
      </c>
    </row>
    <row r="21">
      <c r="A21" t="inlineStr">
        <is>
          <t>Drawn balance, per £1,000 carried for one month — cost of goods per transaction</t>
        </is>
      </c>
      <c r="B21" t="inlineStr">
        <is>
          <t>high</t>
        </is>
      </c>
      <c r="C21" s="6" t="n">
        <v>2.5</v>
      </c>
      <c r="D21" s="9" t="n">
        <v>0.5201132492813443</v>
      </c>
      <c r="E21" s="9" t="n">
        <v>-0.1347639404247629</v>
      </c>
    </row>
    <row r="22">
      <c r="A22" t="inlineStr">
        <is>
          <t>Drawn balance, per £1,000 carried for one month — price</t>
        </is>
      </c>
      <c r="B22" t="inlineStr">
        <is>
          <t>low</t>
        </is>
      </c>
      <c r="C22" s="6" t="n">
        <v>11.25</v>
      </c>
      <c r="D22" s="9" t="n">
        <v>0.5957698735883931</v>
      </c>
      <c r="E22" s="9" t="n">
        <v>-0.05910731611771414</v>
      </c>
    </row>
    <row r="23">
      <c r="A23" t="inlineStr">
        <is>
          <t>Cost of capital (annual)</t>
        </is>
      </c>
      <c r="B23" t="inlineStr">
        <is>
          <t>high</t>
        </is>
      </c>
      <c r="C23" s="6" t="n">
        <v>0.15</v>
      </c>
      <c r="D23" s="9" t="n">
        <v>0.6131460510597787</v>
      </c>
      <c r="E23" s="9" t="n">
        <v>-0.04173113864632849</v>
      </c>
    </row>
    <row r="24">
      <c r="A24" t="inlineStr">
        <is>
          <t>Running cost, operating unit — Write-off administration and legal</t>
        </is>
      </c>
      <c r="B24" t="inlineStr">
        <is>
          <t>high</t>
        </is>
      </c>
      <c r="C24" s="6" t="n">
        <v>0.5833</v>
      </c>
      <c r="D24" s="9" t="n">
        <v>0.6166726623719576</v>
      </c>
      <c r="E24" s="9" t="n">
        <v>-0.03820452733414959</v>
      </c>
    </row>
    <row r="25">
      <c r="A25" t="inlineStr">
        <is>
          <t>Start-up working capital (months of unit running cost)</t>
        </is>
      </c>
      <c r="B25" t="inlineStr">
        <is>
          <t>high</t>
        </is>
      </c>
      <c r="C25" s="6" t="n">
        <v>1</v>
      </c>
      <c r="D25" s="9" t="n">
        <v>0.6185987252444328</v>
      </c>
      <c r="E25" s="9" t="n">
        <v>-0.03627846446167438</v>
      </c>
    </row>
    <row r="26">
      <c r="A26" t="inlineStr">
        <is>
          <t>Running cost, operating unit — Computing and payments in the account line</t>
        </is>
      </c>
      <c r="B26" t="inlineStr">
        <is>
          <t>high</t>
        </is>
      </c>
      <c r="C26" s="6" t="n">
        <v>0.4267</v>
      </c>
      <c r="D26" s="9" t="n">
        <v>0.6250948396283357</v>
      </c>
      <c r="E26" s="9" t="n">
        <v>-0.02978235007777152</v>
      </c>
    </row>
    <row r="27">
      <c r="A27" t="inlineStr">
        <is>
          <t>Transactions per customer per month</t>
        </is>
      </c>
      <c r="B27" t="inlineStr">
        <is>
          <t>low</t>
        </is>
      </c>
      <c r="C27" s="6" t="n">
        <v>15</v>
      </c>
      <c r="D27" s="9" t="n">
        <v>0.6282160815211288</v>
      </c>
      <c r="E27" s="9" t="n">
        <v>-0.02666110818497835</v>
      </c>
    </row>
    <row r="28">
      <c r="A28" t="inlineStr">
        <is>
          <t>Share of the book the venture funds with its own capital</t>
        </is>
      </c>
      <c r="B28" t="inlineStr">
        <is>
          <t>high</t>
        </is>
      </c>
      <c r="C28" s="6" t="n">
        <v>0.1224</v>
      </c>
      <c r="D28" s="9" t="n">
        <v>0.6301642039128471</v>
      </c>
      <c r="E28" s="9" t="n">
        <v>-0.02471298579326009</v>
      </c>
    </row>
    <row r="29">
      <c r="A29" t="inlineStr">
        <is>
          <t>Development cost, head office, one-time — Carrying cost of the pool overlays during release</t>
        </is>
      </c>
      <c r="B29" t="inlineStr">
        <is>
          <t>high</t>
        </is>
      </c>
      <c r="C29" s="6" t="n">
        <v>10400000</v>
      </c>
      <c r="D29" s="9" t="n">
        <v>0.6466921839299642</v>
      </c>
      <c r="E29" s="9" t="n">
        <v>-0.008185005776143006</v>
      </c>
    </row>
    <row r="30">
      <c r="A30" t="inlineStr">
        <is>
          <t>Running cost, head office, per month — Reserve against the assumed head-office count</t>
        </is>
      </c>
      <c r="B30" t="inlineStr">
        <is>
          <t>high</t>
        </is>
      </c>
      <c r="C30" s="6" t="n">
        <v>300333</v>
      </c>
      <c r="D30" s="9" t="n">
        <v>0.647174429899261</v>
      </c>
      <c r="E30" s="9" t="n">
        <v>-0.007702759806846204</v>
      </c>
    </row>
    <row r="31">
      <c r="A31" t="inlineStr">
        <is>
          <t>Share of reachable population that is not viable</t>
        </is>
      </c>
      <c r="B31" t="inlineStr">
        <is>
          <t>high</t>
        </is>
      </c>
      <c r="C31" s="6" t="n">
        <v>0.25</v>
      </c>
      <c r="D31" s="9" t="n">
        <v>0.649475346405568</v>
      </c>
      <c r="E31" s="9" t="n">
        <v>-0.005401843300539166</v>
      </c>
    </row>
    <row r="32">
      <c r="A32" t="inlineStr">
        <is>
          <t>Investment recovery period (months)</t>
        </is>
      </c>
      <c r="B32" t="inlineStr">
        <is>
          <t>low</t>
        </is>
      </c>
      <c r="C32" s="6" t="n">
        <v>36</v>
      </c>
      <c r="D32" s="9" t="n">
        <v>0.6498821130058714</v>
      </c>
      <c r="E32" s="9" t="n">
        <v>-0.004995076700235801</v>
      </c>
    </row>
    <row r="33">
      <c r="A33" t="inlineStr">
        <is>
          <t>Running cost, head office, per month — Technology run — the limit engine</t>
        </is>
      </c>
      <c r="B33" t="inlineStr">
        <is>
          <t>high</t>
        </is>
      </c>
      <c r="C33" s="6" t="n">
        <v>250000</v>
      </c>
      <c r="D33" s="9" t="n">
        <v>0.6505984989174951</v>
      </c>
      <c r="E33" s="9" t="n">
        <v>-0.004278690788612094</v>
      </c>
    </row>
    <row r="34">
      <c r="A34" t="inlineStr">
        <is>
          <t>Running cost, head office, per month — Fraud monitoring on funded events</t>
        </is>
      </c>
      <c r="B34" t="inlineStr">
        <is>
          <t>high</t>
        </is>
      </c>
      <c r="C34" s="6" t="n">
        <v>166667</v>
      </c>
      <c r="D34" s="9" t="n">
        <v>0.6516660832216568</v>
      </c>
      <c r="E34" s="9" t="n">
        <v>-0.003211106484450443</v>
      </c>
    </row>
    <row r="35">
      <c r="A35" t="inlineStr">
        <is>
          <t>Head office — Limit engine and data team — monthly cost per person</t>
        </is>
      </c>
      <c r="B35" t="inlineStr">
        <is>
          <t>high</t>
        </is>
      </c>
      <c r="C35" s="6" t="n">
        <v>13333</v>
      </c>
      <c r="D35" s="9" t="n">
        <v>0.6527359222725465</v>
      </c>
      <c r="E35" s="9" t="n">
        <v>-0.00214126743356069</v>
      </c>
    </row>
    <row r="36">
      <c r="A36" t="inlineStr">
        <is>
          <t>Available hours per person per month</t>
        </is>
      </c>
      <c r="B36" t="inlineStr">
        <is>
          <t>low</t>
        </is>
      </c>
      <c r="C36" s="6" t="n">
        <v>116.7</v>
      </c>
      <c r="D36" s="9" t="n">
        <v>0.6531094349341794</v>
      </c>
      <c r="E36" s="9" t="n">
        <v>-0.00176775477192781</v>
      </c>
    </row>
    <row r="37">
      <c r="A37" t="inlineStr">
        <is>
          <t>Development cost, head office, one-time — Standby securitisation route — documentation and set-up</t>
        </is>
      </c>
      <c r="B37" t="inlineStr">
        <is>
          <t>high</t>
        </is>
      </c>
      <c r="C37" s="6" t="n">
        <v>3000000</v>
      </c>
      <c r="D37" s="9" t="n">
        <v>0.6532968368803255</v>
      </c>
      <c r="E37" s="9" t="n">
        <v>-0.001580352825781728</v>
      </c>
    </row>
    <row r="38">
      <c r="A38" t="inlineStr">
        <is>
          <t>Head office — Product — monthly cost per person</t>
        </is>
      </c>
      <c r="B38" t="inlineStr">
        <is>
          <t>high</t>
        </is>
      </c>
      <c r="C38" s="6" t="n">
        <v>12500</v>
      </c>
      <c r="D38" s="9" t="n">
        <v>0.6534844012325672</v>
      </c>
      <c r="E38" s="9" t="n">
        <v>-0.001392788473539963</v>
      </c>
    </row>
    <row r="39">
      <c r="A39" t="inlineStr">
        <is>
          <t>Head office — Model risk — monthly cost per person</t>
        </is>
      </c>
      <c r="B39" t="inlineStr">
        <is>
          <t>high</t>
        </is>
      </c>
      <c r="C39" s="6" t="n">
        <v>16667</v>
      </c>
      <c r="D39" s="9" t="n">
        <v>0.6538050917233139</v>
      </c>
      <c r="E39" s="9" t="n">
        <v>-0.001072097982793285</v>
      </c>
    </row>
    <row r="40">
      <c r="A40" t="inlineStr">
        <is>
          <t>Exception handler — monthly cost per person</t>
        </is>
      </c>
      <c r="B40" t="inlineStr">
        <is>
          <t>high</t>
        </is>
      </c>
      <c r="C40" s="6" t="n">
        <v>5417</v>
      </c>
      <c r="D40" s="9" t="n">
        <v>0.653912547513599</v>
      </c>
      <c r="E40" s="9" t="n">
        <v>-0.0009646421925082471</v>
      </c>
    </row>
    <row r="41">
      <c r="A41" t="inlineStr">
        <is>
          <t>Running cost, operating unit — Cell tooling — case system and telephony</t>
        </is>
      </c>
      <c r="B41" t="inlineStr">
        <is>
          <t>high</t>
        </is>
      </c>
      <c r="C41" s="6" t="n">
        <v>28333</v>
      </c>
      <c r="D41" s="9" t="n">
        <v>0.6541697268875426</v>
      </c>
      <c r="E41" s="9" t="n">
        <v>-0.000707462818564597</v>
      </c>
    </row>
    <row r="42">
      <c r="A42" t="inlineStr">
        <is>
          <t>Running cost, head office, per month — Other head-office people (the all-people total less the named teams)</t>
        </is>
      </c>
      <c r="B42" t="inlineStr">
        <is>
          <t>high</t>
        </is>
      </c>
      <c r="C42" s="6" t="n">
        <v>50000</v>
      </c>
      <c r="D42" s="9" t="n">
        <v>0.6542339699316497</v>
      </c>
      <c r="E42" s="9" t="n">
        <v>-0.0006432197744574708</v>
      </c>
    </row>
    <row r="43">
      <c r="A43" t="inlineStr">
        <is>
          <t>Running cost, head office, per month — Standby securitisation route — annual upkeep</t>
        </is>
      </c>
      <c r="B43" t="inlineStr">
        <is>
          <t>high</t>
        </is>
      </c>
      <c r="C43" s="6" t="n">
        <v>50000</v>
      </c>
      <c r="D43" s="9" t="n">
        <v>0.6542339699316497</v>
      </c>
      <c r="E43" s="9" t="n">
        <v>-0.0006432197744574708</v>
      </c>
    </row>
    <row r="44">
      <c r="A44" t="inlineStr">
        <is>
          <t>Development cost, head office, one-time — Migration notices to the accounts moving to the levelled line</t>
        </is>
      </c>
      <c r="B44" t="inlineStr">
        <is>
          <t>high</t>
        </is>
      </c>
      <c r="C44" s="6" t="n">
        <v>850000</v>
      </c>
      <c r="D44" s="9" t="n">
        <v>0.6544422915768832</v>
      </c>
      <c r="E44" s="9" t="n">
        <v>-0.0004348981292240373</v>
      </c>
    </row>
    <row r="45">
      <c r="A45" t="inlineStr">
        <is>
          <t>Development cost, head office, one-time — Stage 0 back-test on the bank's own account history</t>
        </is>
      </c>
      <c r="B45" t="inlineStr">
        <is>
          <t>high</t>
        </is>
      </c>
      <c r="C45" s="6" t="n">
        <v>800000</v>
      </c>
      <c r="D45" s="9" t="n">
        <v>0.6544818183247452</v>
      </c>
      <c r="E45" s="9" t="n">
        <v>-0.0003953713813620308</v>
      </c>
    </row>
    <row r="46">
      <c r="A46" t="inlineStr">
        <is>
          <t>Development cost, head office, one-time — Outcome ledger build</t>
        </is>
      </c>
      <c r="B46" t="inlineStr">
        <is>
          <t>high</t>
        </is>
      </c>
      <c r="C46" s="6" t="n">
        <v>300000</v>
      </c>
      <c r="D46" s="9" t="n">
        <v>0.6547190184800818</v>
      </c>
      <c r="E46" s="9" t="n">
        <v>-0.0001581712260253498</v>
      </c>
    </row>
    <row r="47">
      <c r="A47" t="inlineStr">
        <is>
          <t>Cell lead — monthly cost per person</t>
        </is>
      </c>
      <c r="B47" t="inlineStr">
        <is>
          <t>high</t>
        </is>
      </c>
      <c r="C47" s="6" t="n">
        <v>7500</v>
      </c>
      <c r="D47" s="9" t="n">
        <v>0.654748557207163</v>
      </c>
      <c r="E47" s="9" t="n">
        <v>-0.0001286324989442367</v>
      </c>
    </row>
    <row r="48">
      <c r="A48" t="inlineStr">
        <is>
          <t>Development cost, head office, one-time — Stage readings at each release gate</t>
        </is>
      </c>
      <c r="B48" t="inlineStr">
        <is>
          <t>high</t>
        </is>
      </c>
      <c r="C48" s="6" t="n">
        <v>135000</v>
      </c>
      <c r="D48" s="9" t="n">
        <v>0.6548060089125385</v>
      </c>
      <c r="E48" s="9" t="n">
        <v>-7.118079356871476e-05</v>
      </c>
    </row>
    <row r="49">
      <c r="A49" t="inlineStr">
        <is>
          <t>Running cost, operating unit — Shared trainer</t>
        </is>
      </c>
      <c r="B49" t="inlineStr">
        <is>
          <t>high</t>
        </is>
      </c>
      <c r="C49" s="6" t="n">
        <v>2500</v>
      </c>
      <c r="D49" s="9" t="n">
        <v>0.6548127937465287</v>
      </c>
      <c r="E49" s="9" t="n">
        <v>-6.439595957852262e-05</v>
      </c>
    </row>
    <row r="50">
      <c r="A50" t="inlineStr">
        <is>
          <t>Development cost, head office, one-time — Credit-line element build and conformance test</t>
        </is>
      </c>
      <c r="B50" t="inlineStr">
        <is>
          <t>high</t>
        </is>
      </c>
      <c r="C50" s="6" t="n">
        <v>100000</v>
      </c>
      <c r="D50" s="9" t="n">
        <v>0.654837644064806</v>
      </c>
      <c r="E50" s="9" t="n">
        <v>-3.954564130115301e-05</v>
      </c>
    </row>
    <row r="51">
      <c r="A51" t="inlineStr">
        <is>
          <t>Development cost, head office, one-time — Funding term</t>
        </is>
      </c>
      <c r="B51" t="inlineStr">
        <is>
          <t>high</t>
        </is>
      </c>
      <c r="C51" s="6" t="n">
        <v>53000</v>
      </c>
      <c r="D51" s="9" t="n">
        <v>0.6548558348250644</v>
      </c>
      <c r="E51" s="9" t="n">
        <v>-2.135488104282324e-05</v>
      </c>
    </row>
    <row r="52">
      <c r="A52" t="inlineStr">
        <is>
          <t>Development cost, head office, one-time — Seasoning schedule build</t>
        </is>
      </c>
      <c r="B52" t="inlineStr">
        <is>
          <t>high</t>
        </is>
      </c>
      <c r="C52" s="6" t="n">
        <v>40000</v>
      </c>
      <c r="D52" s="9" t="n">
        <v>0.6548613712227838</v>
      </c>
      <c r="E52" s="9" t="n">
        <v>-1.58184833234376e-05</v>
      </c>
    </row>
    <row r="53">
      <c r="A53" t="inlineStr">
        <is>
          <t>Reachable population (whole venture)</t>
        </is>
      </c>
      <c r="B53" t="inlineStr">
        <is>
          <t>low</t>
        </is>
      </c>
      <c r="C53" s="6" t="n">
        <v>850000</v>
      </c>
      <c r="D53" s="9" t="n">
        <v>0.6548771897061072</v>
      </c>
      <c r="E53" s="9" t="n">
        <v>0</v>
      </c>
    </row>
    <row r="54">
      <c r="A54" s="3" t="inlineStr">
        <is>
          <t>Binding input (largest fall in the margin of safety)</t>
        </is>
      </c>
      <c r="B54" t="inlineStr">
        <is>
          <t>Running cost, operating unit — Expected credit loss on the drawn balance</t>
        </is>
      </c>
    </row>
    <row r="55">
      <c r="A55" s="3" t="inlineStr">
        <is>
          <t>Margin of safety with every input at its adverse end (worst corner)</t>
        </is>
      </c>
      <c r="B55" s="9" t="n">
        <v>0.1451405510002046</v>
      </c>
    </row>
    <row r="56">
      <c r="A56" t="inlineStr">
        <is>
          <t>Margin of safety at base, as computed by the builder (must equal B6)</t>
        </is>
      </c>
      <c r="B56" s="9" t="n">
        <v>0.6548771897061072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2" customWidth="1" min="1" max="1"/>
    <col width="16" customWidth="1" min="2" max="2"/>
    <col width="16" customWidth="1" min="3" max="3"/>
    <col width="30" customWidth="1" min="4" max="4"/>
  </cols>
  <sheetData>
    <row r="1">
      <c r="A1" s="1" t="inlineStr">
        <is>
          <t>Synthesis — whole-cost profit and loss, one operating unit per month</t>
        </is>
      </c>
    </row>
    <row r="2">
      <c r="A2" s="2" t="inlineStr">
        <is>
          <t>At the interim price and at the required price. Surplus ÷ whole cost recomputes the margin of safety. IFC step 5.</t>
        </is>
      </c>
    </row>
    <row r="4">
      <c r="A4" s="5" t="inlineStr">
        <is>
          <t>Line</t>
        </is>
      </c>
      <c r="B4" s="5" t="inlineStr">
        <is>
          <t>At interim price</t>
        </is>
      </c>
      <c r="C4" s="5" t="inlineStr">
        <is>
          <t>At required price</t>
        </is>
      </c>
      <c r="D4" s="5" t="inlineStr">
        <is>
          <t>Note</t>
        </is>
      </c>
    </row>
    <row r="5">
      <c r="A5" t="inlineStr">
        <is>
          <t>Transactions per month</t>
        </is>
      </c>
      <c r="B5" s="13">
        <f>'2 Customers'!$B$10</f>
        <v/>
      </c>
      <c r="C5" s="13">
        <f>'2 Customers'!$B$10</f>
        <v/>
      </c>
    </row>
    <row r="6">
      <c r="A6" t="inlineStr">
        <is>
          <t>Price per transaction</t>
        </is>
      </c>
      <c r="B6" s="11">
        <f>'2 Customers'!$E$15/'2 Customers'!$B$10</f>
        <v/>
      </c>
      <c r="C6" s="11">
        <f>'10 Pricing'!$B$9</f>
        <v/>
      </c>
    </row>
    <row r="7">
      <c r="A7" t="inlineStr">
        <is>
          <t>Revenue</t>
        </is>
      </c>
      <c r="B7" s="14">
        <f>B5*B6</f>
        <v/>
      </c>
      <c r="C7" s="14">
        <f>C5*C6</f>
        <v/>
      </c>
    </row>
    <row r="8">
      <c r="A8" t="inlineStr">
        <is>
          <t>Cost of goods</t>
        </is>
      </c>
      <c r="B8" s="14">
        <f>-'2 Customers'!$G$15</f>
        <v/>
      </c>
      <c r="C8" s="14">
        <f>-'2 Customers'!$G$15</f>
        <v/>
      </c>
    </row>
    <row r="9">
      <c r="A9" t="inlineStr">
        <is>
          <t>Staff</t>
        </is>
      </c>
      <c r="B9" s="14">
        <f>-'3 HR'!$F$20</f>
        <v/>
      </c>
      <c r="C9" s="14">
        <f>-'3 HR'!$F$20</f>
        <v/>
      </c>
    </row>
    <row r="10">
      <c r="A10" t="inlineStr">
        <is>
          <t>Depreciation</t>
        </is>
      </c>
      <c r="B10" s="14">
        <f>-'4 Depreciation'!$G$5</f>
        <v/>
      </c>
      <c r="C10" s="14">
        <f>-'4 Depreciation'!$G$5</f>
        <v/>
      </c>
    </row>
    <row r="11">
      <c r="A11" t="inlineStr">
        <is>
          <t>General running</t>
        </is>
      </c>
      <c r="B11" s="14">
        <f>-'5 Running'!$E$10</f>
        <v/>
      </c>
      <c r="C11" s="14">
        <f>-'5 Running'!$E$10</f>
        <v/>
      </c>
    </row>
    <row r="12">
      <c r="A12" t="inlineStr">
        <is>
          <t>Start-up charge</t>
        </is>
      </c>
      <c r="B12" s="14">
        <f>-'6 Start-up'!$B$9</f>
        <v/>
      </c>
      <c r="C12" s="14">
        <f>-'6 Start-up'!$B$9</f>
        <v/>
      </c>
    </row>
    <row r="13">
      <c r="A13" t="inlineStr">
        <is>
          <t>Investment return</t>
        </is>
      </c>
      <c r="B13" s="14">
        <f>-'7 Returns'!$B$8</f>
        <v/>
      </c>
      <c r="C13" s="14">
        <f>-'7 Returns'!$B$8</f>
        <v/>
      </c>
    </row>
    <row r="14">
      <c r="A14" t="inlineStr">
        <is>
          <t>Tax</t>
        </is>
      </c>
      <c r="B14" s="14">
        <f>-'8 Tax'!$B$5</f>
        <v/>
      </c>
      <c r="C14" s="14">
        <f>-'8 Tax'!$B$5</f>
        <v/>
      </c>
    </row>
    <row r="15">
      <c r="A15" t="inlineStr">
        <is>
          <t>Head office allocation</t>
        </is>
      </c>
      <c r="B15" s="14">
        <f>-'9 Unit costs'!$B$16</f>
        <v/>
      </c>
      <c r="C15" s="14">
        <f>-'9 Unit costs'!$B$16</f>
        <v/>
      </c>
    </row>
    <row r="16">
      <c r="A16" s="3" t="inlineStr">
        <is>
          <t>Whole cost</t>
        </is>
      </c>
      <c r="B16" s="16">
        <f>SUM(B8:B15)</f>
        <v/>
      </c>
      <c r="C16" s="16">
        <f>SUM(C8:C15)</f>
        <v/>
      </c>
    </row>
    <row r="17">
      <c r="A17" s="3" t="inlineStr">
        <is>
          <t>Surplus = revenue + whole cost</t>
        </is>
      </c>
      <c r="B17" s="16">
        <f>B7+B16</f>
        <v/>
      </c>
      <c r="C17" s="16">
        <f>C7+C16</f>
        <v/>
      </c>
    </row>
    <row r="18">
      <c r="A18" s="3" t="inlineStr">
        <is>
          <t>Surplus ÷ whole cost (recomputed margin of safety)</t>
        </is>
      </c>
      <c r="B18" s="20">
        <f>B17/-B16</f>
        <v/>
      </c>
      <c r="C18" s="20">
        <f>C17/-C16</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Synthesis — whole-cost profit and loss, the venture at scale, per month</t>
        </is>
      </c>
    </row>
    <row r="2">
      <c r="A2" s="2" t="inlineStr">
        <is>
          <t>Every operating unit plus head office. Venture surplus must equal units × unit surplus. IFC step 5.</t>
        </is>
      </c>
    </row>
    <row r="4">
      <c r="A4" s="5" t="inlineStr">
        <is>
          <t>Line</t>
        </is>
      </c>
      <c r="B4" s="5" t="inlineStr">
        <is>
          <t>Per unit</t>
        </is>
      </c>
      <c r="C4" s="5" t="inlineStr">
        <is>
          <t>Units</t>
        </is>
      </c>
      <c r="D4" s="5" t="inlineStr">
        <is>
          <t>Venture per month</t>
        </is>
      </c>
    </row>
    <row r="5">
      <c r="A5" t="inlineStr">
        <is>
          <t>Revenue</t>
        </is>
      </c>
      <c r="B5" s="14">
        <f>'2 Customers'!$E$15</f>
        <v/>
      </c>
      <c r="C5" s="13">
        <f>'2 Customers'!$B$6</f>
        <v/>
      </c>
      <c r="D5" s="14">
        <f>B5*C5</f>
        <v/>
      </c>
    </row>
    <row r="6">
      <c r="A6" t="inlineStr">
        <is>
          <t>Cost of goods</t>
        </is>
      </c>
      <c r="B6" s="14">
        <f>-'2 Customers'!$G$15</f>
        <v/>
      </c>
      <c r="C6" s="13">
        <f>'2 Customers'!$B$6</f>
        <v/>
      </c>
      <c r="D6" s="14">
        <f>B6*C6</f>
        <v/>
      </c>
    </row>
    <row r="7">
      <c r="A7" t="inlineStr">
        <is>
          <t>Staff (units)</t>
        </is>
      </c>
      <c r="B7" s="14">
        <f>-'3 HR'!$F$20</f>
        <v/>
      </c>
      <c r="C7" s="13">
        <f>'2 Customers'!$B$6</f>
        <v/>
      </c>
      <c r="D7" s="14">
        <f>B7*C7</f>
        <v/>
      </c>
    </row>
    <row r="8">
      <c r="A8" t="inlineStr">
        <is>
          <t>Depreciation (units)</t>
        </is>
      </c>
      <c r="B8" s="14">
        <f>-'4 Depreciation'!$G$5</f>
        <v/>
      </c>
      <c r="C8" s="13">
        <f>'2 Customers'!$B$6</f>
        <v/>
      </c>
      <c r="D8" s="14">
        <f>B8*C8</f>
        <v/>
      </c>
    </row>
    <row r="9">
      <c r="A9" t="inlineStr">
        <is>
          <t>General running (units)</t>
        </is>
      </c>
      <c r="B9" s="14">
        <f>-'5 Running'!$E$10</f>
        <v/>
      </c>
      <c r="C9" s="13">
        <f>'2 Customers'!$B$6</f>
        <v/>
      </c>
      <c r="D9" s="14">
        <f>B9*C9</f>
        <v/>
      </c>
    </row>
    <row r="10">
      <c r="A10" t="inlineStr">
        <is>
          <t>Start-up charge (units)</t>
        </is>
      </c>
      <c r="B10" s="14">
        <f>-'6 Start-up'!$B$9</f>
        <v/>
      </c>
      <c r="C10" s="13">
        <f>'2 Customers'!$B$6</f>
        <v/>
      </c>
      <c r="D10" s="14">
        <f>B10*C10</f>
        <v/>
      </c>
    </row>
    <row r="11">
      <c r="A11" t="inlineStr">
        <is>
          <t>Investment return (units)</t>
        </is>
      </c>
      <c r="B11" s="14">
        <f>-'7 Returns'!$B$8</f>
        <v/>
      </c>
      <c r="C11" s="13">
        <f>'2 Customers'!$B$6</f>
        <v/>
      </c>
      <c r="D11" s="14">
        <f>B11*C11</f>
        <v/>
      </c>
    </row>
    <row r="12">
      <c r="A12" t="inlineStr">
        <is>
          <t>Tax (units)</t>
        </is>
      </c>
      <c r="B12" s="14">
        <f>-'8 Tax'!$B$5</f>
        <v/>
      </c>
      <c r="C12" s="13">
        <f>'2 Customers'!$B$6</f>
        <v/>
      </c>
      <c r="D12" s="14">
        <f>B12*C12</f>
        <v/>
      </c>
    </row>
    <row r="13">
      <c r="A13" t="inlineStr">
        <is>
          <t>Head office staff</t>
        </is>
      </c>
      <c r="D13" s="14">
        <f>-'3 HR'!$D$27</f>
        <v/>
      </c>
    </row>
    <row r="14">
      <c r="A14" t="inlineStr">
        <is>
          <t>Head office running</t>
        </is>
      </c>
      <c r="D14" s="14">
        <f>-'5 Running'!$E$20</f>
        <v/>
      </c>
    </row>
    <row r="15">
      <c r="A15" t="inlineStr">
        <is>
          <t>Head office depreciation</t>
        </is>
      </c>
      <c r="D15" s="14">
        <f>-'4 Depreciation'!$G$8</f>
        <v/>
      </c>
    </row>
    <row r="16">
      <c r="A16" t="inlineStr">
        <is>
          <t>Head office development charge</t>
        </is>
      </c>
      <c r="D16" s="14">
        <f>-'6 Start-up'!$B$22</f>
        <v/>
      </c>
    </row>
    <row r="17">
      <c r="A17" t="inlineStr">
        <is>
          <t>Head office investment return</t>
        </is>
      </c>
      <c r="D17" s="14">
        <f>-'7 Returns'!$B$10</f>
        <v/>
      </c>
    </row>
    <row r="18">
      <c r="A18" t="inlineStr">
        <is>
          <t>Head office tax</t>
        </is>
      </c>
      <c r="D18" s="14">
        <f>-'8 Tax'!$B$6</f>
        <v/>
      </c>
    </row>
    <row r="19">
      <c r="A19" t="inlineStr">
        <is>
          <t>Head office target profit</t>
        </is>
      </c>
      <c r="D19" s="14">
        <f>-('9 Unit costs'!$B$15-'9 Unit costs'!$B$13)</f>
        <v/>
      </c>
    </row>
    <row r="20">
      <c r="A20" s="3" t="inlineStr">
        <is>
          <t>Venture surplus per month</t>
        </is>
      </c>
      <c r="D20" s="16">
        <f>SUM(D5:D19)</f>
        <v/>
      </c>
    </row>
    <row r="21">
      <c r="A21" s="3" t="inlineStr">
        <is>
          <t>Venture surplus per year</t>
        </is>
      </c>
      <c r="D21" s="16">
        <f>D20*12</f>
        <v/>
      </c>
    </row>
    <row r="22">
      <c r="A22" t="inlineStr">
        <is>
          <t>Units × unit surplus (must equal venture surplus)</t>
        </is>
      </c>
      <c r="D22" s="14">
        <f>'2 Customers'!$B$6*'11 Unit P&amp;L'!$B$17</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Sales assumptions — year one, the operating units open in year one</t>
        </is>
      </c>
    </row>
    <row r="2">
      <c r="A2" s="2" t="inlineStr">
        <is>
          <t>The Start Up Loans template sheet. Volumes = units open × steady-state transactions × the month's share of steady state.</t>
        </is>
      </c>
    </row>
    <row r="4">
      <c r="A4" t="inlineStr">
        <is>
          <t>Operating units open in year one</t>
        </is>
      </c>
      <c r="B4">
        <f>'1 Master'!$B$48</f>
        <v/>
      </c>
    </row>
    <row r="5">
      <c r="A5" t="inlineStr">
        <is>
          <t>Share of steady-state volume, by month</t>
        </is>
      </c>
      <c r="B5" s="10" t="n">
        <v>0.8125</v>
      </c>
      <c r="C5" s="10" t="n">
        <v>0.825</v>
      </c>
      <c r="D5" s="10" t="n">
        <v>0.8375</v>
      </c>
      <c r="E5" s="10" t="n">
        <v>0.85</v>
      </c>
      <c r="F5" s="10" t="n">
        <v>0.8625</v>
      </c>
      <c r="G5" s="10" t="n">
        <v>0.875</v>
      </c>
      <c r="H5" s="10" t="n">
        <v>0.8875</v>
      </c>
      <c r="I5" s="10" t="n">
        <v>0.9</v>
      </c>
      <c r="J5" s="10" t="n">
        <v>0.9125</v>
      </c>
      <c r="K5" s="10" t="n">
        <v>0.925</v>
      </c>
      <c r="L5" s="10" t="n">
        <v>0.9375</v>
      </c>
      <c r="M5" s="10" t="n">
        <v>0.95</v>
      </c>
    </row>
    <row r="7">
      <c r="A7" s="5" t="inlineStr">
        <is>
          <t>Product / month</t>
        </is>
      </c>
      <c r="B7" s="5" t="inlineStr">
        <is>
          <t>M1</t>
        </is>
      </c>
      <c r="C7" s="5" t="inlineStr">
        <is>
          <t>M2</t>
        </is>
      </c>
      <c r="D7" s="5" t="inlineStr">
        <is>
          <t>M3</t>
        </is>
      </c>
      <c r="E7" s="5" t="inlineStr">
        <is>
          <t>M4</t>
        </is>
      </c>
      <c r="F7" s="5" t="inlineStr">
        <is>
          <t>M5</t>
        </is>
      </c>
      <c r="G7" s="5" t="inlineStr">
        <is>
          <t>M6</t>
        </is>
      </c>
      <c r="H7" s="5" t="inlineStr">
        <is>
          <t>M7</t>
        </is>
      </c>
      <c r="I7" s="5" t="inlineStr">
        <is>
          <t>M8</t>
        </is>
      </c>
      <c r="J7" s="5" t="inlineStr">
        <is>
          <t>M9</t>
        </is>
      </c>
      <c r="K7" s="5" t="inlineStr">
        <is>
          <t>M10</t>
        </is>
      </c>
      <c r="L7" s="5" t="inlineStr">
        <is>
          <t>M11</t>
        </is>
      </c>
      <c r="M7" s="5" t="inlineStr">
        <is>
          <t>M12</t>
        </is>
      </c>
      <c r="N7" s="5" t="inlineStr">
        <is>
          <t>Year</t>
        </is>
      </c>
    </row>
    <row r="8">
      <c r="A8" s="3" t="inlineStr">
        <is>
          <t>Drawn balance, per £1,000 carried for one month — volume</t>
        </is>
      </c>
      <c r="B8" s="13">
        <f>$B$4*'2 Customers'!$C$14*B$5</f>
        <v/>
      </c>
      <c r="C8" s="13">
        <f>$B$4*'2 Customers'!$C$14*C$5</f>
        <v/>
      </c>
      <c r="D8" s="13">
        <f>$B$4*'2 Customers'!$C$14*D$5</f>
        <v/>
      </c>
      <c r="E8" s="13">
        <f>$B$4*'2 Customers'!$C$14*E$5</f>
        <v/>
      </c>
      <c r="F8" s="13">
        <f>$B$4*'2 Customers'!$C$14*F$5</f>
        <v/>
      </c>
      <c r="G8" s="13">
        <f>$B$4*'2 Customers'!$C$14*G$5</f>
        <v/>
      </c>
      <c r="H8" s="13">
        <f>$B$4*'2 Customers'!$C$14*H$5</f>
        <v/>
      </c>
      <c r="I8" s="13">
        <f>$B$4*'2 Customers'!$C$14*I$5</f>
        <v/>
      </c>
      <c r="J8" s="13">
        <f>$B$4*'2 Customers'!$C$14*J$5</f>
        <v/>
      </c>
      <c r="K8" s="13">
        <f>$B$4*'2 Customers'!$C$14*K$5</f>
        <v/>
      </c>
      <c r="L8" s="13">
        <f>$B$4*'2 Customers'!$C$14*L$5</f>
        <v/>
      </c>
      <c r="M8" s="13">
        <f>$B$4*'2 Customers'!$C$14*M$5</f>
        <v/>
      </c>
      <c r="N8" s="13">
        <f>SUM(B8:M8)</f>
        <v/>
      </c>
    </row>
    <row r="9">
      <c r="A9" t="inlineStr">
        <is>
          <t>Drawn balance, per £1,000 carried for one month — sales</t>
        </is>
      </c>
      <c r="B9" s="14">
        <f>B8*'2 Customers'!$D$14</f>
        <v/>
      </c>
      <c r="C9" s="14">
        <f>C8*'2 Customers'!$D$14</f>
        <v/>
      </c>
      <c r="D9" s="14">
        <f>D8*'2 Customers'!$D$14</f>
        <v/>
      </c>
      <c r="E9" s="14">
        <f>E8*'2 Customers'!$D$14</f>
        <v/>
      </c>
      <c r="F9" s="14">
        <f>F8*'2 Customers'!$D$14</f>
        <v/>
      </c>
      <c r="G9" s="14">
        <f>G8*'2 Customers'!$D$14</f>
        <v/>
      </c>
      <c r="H9" s="14">
        <f>H8*'2 Customers'!$D$14</f>
        <v/>
      </c>
      <c r="I9" s="14">
        <f>I8*'2 Customers'!$D$14</f>
        <v/>
      </c>
      <c r="J9" s="14">
        <f>J8*'2 Customers'!$D$14</f>
        <v/>
      </c>
      <c r="K9" s="14">
        <f>K8*'2 Customers'!$D$14</f>
        <v/>
      </c>
      <c r="L9" s="14">
        <f>L8*'2 Customers'!$D$14</f>
        <v/>
      </c>
      <c r="M9" s="14">
        <f>M8*'2 Customers'!$D$14</f>
        <v/>
      </c>
      <c r="N9" s="14">
        <f>SUM(B9:M9)</f>
        <v/>
      </c>
    </row>
    <row r="10">
      <c r="A10" t="inlineStr">
        <is>
          <t>Drawn balance, per £1,000 carried for one month — cost of sales</t>
        </is>
      </c>
      <c r="B10" s="14">
        <f>B8*'2 Customers'!$F$14</f>
        <v/>
      </c>
      <c r="C10" s="14">
        <f>C8*'2 Customers'!$F$14</f>
        <v/>
      </c>
      <c r="D10" s="14">
        <f>D8*'2 Customers'!$F$14</f>
        <v/>
      </c>
      <c r="E10" s="14">
        <f>E8*'2 Customers'!$F$14</f>
        <v/>
      </c>
      <c r="F10" s="14">
        <f>F8*'2 Customers'!$F$14</f>
        <v/>
      </c>
      <c r="G10" s="14">
        <f>G8*'2 Customers'!$F$14</f>
        <v/>
      </c>
      <c r="H10" s="14">
        <f>H8*'2 Customers'!$F$14</f>
        <v/>
      </c>
      <c r="I10" s="14">
        <f>I8*'2 Customers'!$F$14</f>
        <v/>
      </c>
      <c r="J10" s="14">
        <f>J8*'2 Customers'!$F$14</f>
        <v/>
      </c>
      <c r="K10" s="14">
        <f>K8*'2 Customers'!$F$14</f>
        <v/>
      </c>
      <c r="L10" s="14">
        <f>L8*'2 Customers'!$F$14</f>
        <v/>
      </c>
      <c r="M10" s="14">
        <f>M8*'2 Customers'!$F$14</f>
        <v/>
      </c>
      <c r="N10" s="14">
        <f>SUM(B10:M10)</f>
        <v/>
      </c>
    </row>
    <row r="12">
      <c r="A12" s="3" t="inlineStr">
        <is>
          <t>Total sales</t>
        </is>
      </c>
      <c r="B12" s="14">
        <f>B9</f>
        <v/>
      </c>
      <c r="C12" s="14">
        <f>C9</f>
        <v/>
      </c>
      <c r="D12" s="14">
        <f>D9</f>
        <v/>
      </c>
      <c r="E12" s="14">
        <f>E9</f>
        <v/>
      </c>
      <c r="F12" s="14">
        <f>F9</f>
        <v/>
      </c>
      <c r="G12" s="14">
        <f>G9</f>
        <v/>
      </c>
      <c r="H12" s="14">
        <f>H9</f>
        <v/>
      </c>
      <c r="I12" s="14">
        <f>I9</f>
        <v/>
      </c>
      <c r="J12" s="14">
        <f>J9</f>
        <v/>
      </c>
      <c r="K12" s="14">
        <f>K9</f>
        <v/>
      </c>
      <c r="L12" s="14">
        <f>L9</f>
        <v/>
      </c>
      <c r="M12" s="14">
        <f>M9</f>
        <v/>
      </c>
      <c r="N12" s="14">
        <f>N9</f>
        <v/>
      </c>
    </row>
    <row r="13">
      <c r="A13" s="3" t="inlineStr">
        <is>
          <t>Total cost of sales</t>
        </is>
      </c>
      <c r="B13" s="14">
        <f>B10</f>
        <v/>
      </c>
      <c r="C13" s="14">
        <f>C10</f>
        <v/>
      </c>
      <c r="D13" s="14">
        <f>D10</f>
        <v/>
      </c>
      <c r="E13" s="14">
        <f>E10</f>
        <v/>
      </c>
      <c r="F13" s="14">
        <f>F10</f>
        <v/>
      </c>
      <c r="G13" s="14">
        <f>G10</f>
        <v/>
      </c>
      <c r="H13" s="14">
        <f>H10</f>
        <v/>
      </c>
      <c r="I13" s="14">
        <f>I10</f>
        <v/>
      </c>
      <c r="J13" s="14">
        <f>J10</f>
        <v/>
      </c>
      <c r="K13" s="14">
        <f>K10</f>
        <v/>
      </c>
      <c r="L13" s="14">
        <f>L10</f>
        <v/>
      </c>
      <c r="M13" s="14">
        <f>M10</f>
        <v/>
      </c>
      <c r="N13" s="14">
        <f>N10</f>
        <v/>
      </c>
    </row>
    <row r="14">
      <c r="A14" s="3" t="inlineStr">
        <is>
          <t>Total volume</t>
        </is>
      </c>
      <c r="B14" s="13">
        <f>B8</f>
        <v/>
      </c>
      <c r="C14" s="13">
        <f>C8</f>
        <v/>
      </c>
      <c r="D14" s="13">
        <f>D8</f>
        <v/>
      </c>
      <c r="E14" s="13">
        <f>E8</f>
        <v/>
      </c>
      <c r="F14" s="13">
        <f>F8</f>
        <v/>
      </c>
      <c r="G14" s="13">
        <f>G8</f>
        <v/>
      </c>
      <c r="H14" s="13">
        <f>H8</f>
        <v/>
      </c>
      <c r="I14" s="13">
        <f>I8</f>
        <v/>
      </c>
      <c r="J14" s="13">
        <f>J8</f>
        <v/>
      </c>
      <c r="K14" s="13">
        <f>K8</f>
        <v/>
      </c>
      <c r="L14" s="13">
        <f>L8</f>
        <v/>
      </c>
      <c r="M14" s="13">
        <f>M8</f>
        <v/>
      </c>
      <c r="N14" s="13">
        <f>N8</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3"/>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1" t="inlineStr">
        <is>
          <t>Twelve-month cash-flow forecast — year one</t>
        </is>
      </c>
    </row>
    <row r="2">
      <c r="A2" s="2" t="inlineStr">
        <is>
          <t>The Start Up Loans template sheet, with its stress test: revenue down by the rate on tab 1.</t>
        </is>
      </c>
    </row>
    <row r="4">
      <c r="A4" t="inlineStr">
        <is>
          <t>Loan amount</t>
        </is>
      </c>
      <c r="B4" s="14">
        <f>'1 Master'!$B$51</f>
        <v/>
      </c>
    </row>
    <row r="5">
      <c r="A5" t="inlineStr">
        <is>
          <t>Loan interest rate (annual)</t>
        </is>
      </c>
      <c r="B5" s="9">
        <f>'1 Master'!$B$52</f>
        <v/>
      </c>
    </row>
    <row r="6">
      <c r="A6" t="inlineStr">
        <is>
          <t>Loan term (months)</t>
        </is>
      </c>
      <c r="B6">
        <f>'1 Master'!$B$53</f>
        <v/>
      </c>
    </row>
    <row r="7">
      <c r="A7" t="inlineStr">
        <is>
          <t>Monthly repayment = L × r ÷ (1 − (1 + r)^−n)</t>
        </is>
      </c>
      <c r="B7" s="14">
        <f>IF(B5=0,B4/B6,B4*(B5/12)/(1-(1+B5/12)^(-B6)))</f>
        <v/>
      </c>
    </row>
    <row r="9">
      <c r="A9" s="5" t="inlineStr">
        <is>
          <t>Line / month</t>
        </is>
      </c>
      <c r="B9" s="5" t="inlineStr">
        <is>
          <t>M1</t>
        </is>
      </c>
      <c r="C9" s="5" t="inlineStr">
        <is>
          <t>M2</t>
        </is>
      </c>
      <c r="D9" s="5" t="inlineStr">
        <is>
          <t>M3</t>
        </is>
      </c>
      <c r="E9" s="5" t="inlineStr">
        <is>
          <t>M4</t>
        </is>
      </c>
      <c r="F9" s="5" t="inlineStr">
        <is>
          <t>M5</t>
        </is>
      </c>
      <c r="G9" s="5" t="inlineStr">
        <is>
          <t>M6</t>
        </is>
      </c>
      <c r="H9" s="5" t="inlineStr">
        <is>
          <t>M7</t>
        </is>
      </c>
      <c r="I9" s="5" t="inlineStr">
        <is>
          <t>M8</t>
        </is>
      </c>
      <c r="J9" s="5" t="inlineStr">
        <is>
          <t>M9</t>
        </is>
      </c>
      <c r="K9" s="5" t="inlineStr">
        <is>
          <t>M10</t>
        </is>
      </c>
      <c r="L9" s="5" t="inlineStr">
        <is>
          <t>M11</t>
        </is>
      </c>
      <c r="M9" s="5" t="inlineStr">
        <is>
          <t>M12</t>
        </is>
      </c>
      <c r="N9" s="5" t="inlineStr">
        <is>
          <t>Year</t>
        </is>
      </c>
    </row>
    <row r="10">
      <c r="A10" t="inlineStr">
        <is>
          <t>IN: sales</t>
        </is>
      </c>
      <c r="B10" s="14">
        <f>'13 Sales'!B12</f>
        <v/>
      </c>
      <c r="C10" s="14">
        <f>'13 Sales'!C12</f>
        <v/>
      </c>
      <c r="D10" s="14">
        <f>'13 Sales'!D12</f>
        <v/>
      </c>
      <c r="E10" s="14">
        <f>'13 Sales'!E12</f>
        <v/>
      </c>
      <c r="F10" s="14">
        <f>'13 Sales'!F12</f>
        <v/>
      </c>
      <c r="G10" s="14">
        <f>'13 Sales'!G12</f>
        <v/>
      </c>
      <c r="H10" s="14">
        <f>'13 Sales'!H12</f>
        <v/>
      </c>
      <c r="I10" s="14">
        <f>'13 Sales'!I12</f>
        <v/>
      </c>
      <c r="J10" s="14">
        <f>'13 Sales'!J12</f>
        <v/>
      </c>
      <c r="K10" s="14">
        <f>'13 Sales'!K12</f>
        <v/>
      </c>
      <c r="L10" s="14">
        <f>'13 Sales'!L12</f>
        <v/>
      </c>
      <c r="M10" s="14">
        <f>'13 Sales'!M12</f>
        <v/>
      </c>
      <c r="N10" s="14">
        <f>SUM(B10:M10)</f>
        <v/>
      </c>
    </row>
    <row r="11">
      <c r="A11" t="inlineStr">
        <is>
          <t>IN: loan</t>
        </is>
      </c>
      <c r="B11" s="14">
        <f>'1 Master'!$B$51</f>
        <v/>
      </c>
      <c r="C11" s="14">
        <f>0</f>
        <v/>
      </c>
      <c r="D11" s="14">
        <f>0</f>
        <v/>
      </c>
      <c r="E11" s="14">
        <f>0</f>
        <v/>
      </c>
      <c r="F11" s="14">
        <f>0</f>
        <v/>
      </c>
      <c r="G11" s="14">
        <f>0</f>
        <v/>
      </c>
      <c r="H11" s="14">
        <f>0</f>
        <v/>
      </c>
      <c r="I11" s="14">
        <f>0</f>
        <v/>
      </c>
      <c r="J11" s="14">
        <f>0</f>
        <v/>
      </c>
      <c r="K11" s="14">
        <f>0</f>
        <v/>
      </c>
      <c r="L11" s="14">
        <f>0</f>
        <v/>
      </c>
      <c r="M11" s="14">
        <f>0</f>
        <v/>
      </c>
    </row>
    <row r="12">
      <c r="A12" t="inlineStr">
        <is>
          <t>IN: other equity or grants</t>
        </is>
      </c>
      <c r="B12" s="14">
        <f>'1 Master'!$B$54</f>
        <v/>
      </c>
      <c r="C12" s="14">
        <f>0</f>
        <v/>
      </c>
      <c r="D12" s="14">
        <f>0</f>
        <v/>
      </c>
      <c r="E12" s="14">
        <f>0</f>
        <v/>
      </c>
      <c r="F12" s="14">
        <f>0</f>
        <v/>
      </c>
      <c r="G12" s="14">
        <f>0</f>
        <v/>
      </c>
      <c r="H12" s="14">
        <f>0</f>
        <v/>
      </c>
      <c r="I12" s="14">
        <f>0</f>
        <v/>
      </c>
      <c r="J12" s="14">
        <f>0</f>
        <v/>
      </c>
      <c r="K12" s="14">
        <f>0</f>
        <v/>
      </c>
      <c r="L12" s="14">
        <f>0</f>
        <v/>
      </c>
      <c r="M12" s="14">
        <f>0</f>
        <v/>
      </c>
    </row>
    <row r="13">
      <c r="A13" s="3" t="inlineStr">
        <is>
          <t>Total in</t>
        </is>
      </c>
      <c r="B13" s="14">
        <f>SUM(B10:B12)</f>
        <v/>
      </c>
      <c r="C13" s="14">
        <f>SUM(C10:C12)</f>
        <v/>
      </c>
      <c r="D13" s="14">
        <f>SUM(D10:D12)</f>
        <v/>
      </c>
      <c r="E13" s="14">
        <f>SUM(E10:E12)</f>
        <v/>
      </c>
      <c r="F13" s="14">
        <f>SUM(F10:F12)</f>
        <v/>
      </c>
      <c r="G13" s="14">
        <f>SUM(G10:G12)</f>
        <v/>
      </c>
      <c r="H13" s="14">
        <f>SUM(H10:H12)</f>
        <v/>
      </c>
      <c r="I13" s="14">
        <f>SUM(I10:I12)</f>
        <v/>
      </c>
      <c r="J13" s="14">
        <f>SUM(J10:J12)</f>
        <v/>
      </c>
      <c r="K13" s="14">
        <f>SUM(K10:K12)</f>
        <v/>
      </c>
      <c r="L13" s="14">
        <f>SUM(L10:L12)</f>
        <v/>
      </c>
      <c r="M13" s="14">
        <f>SUM(M10:M12)</f>
        <v/>
      </c>
      <c r="N13" s="14">
        <f>SUM(B13:M13)</f>
        <v/>
      </c>
    </row>
    <row r="14">
      <c r="A14" t="inlineStr">
        <is>
          <t>OUT: cost of sales</t>
        </is>
      </c>
      <c r="B14" s="14">
        <f>'13 Sales'!B13</f>
        <v/>
      </c>
      <c r="C14" s="14">
        <f>'13 Sales'!C13</f>
        <v/>
      </c>
      <c r="D14" s="14">
        <f>'13 Sales'!D13</f>
        <v/>
      </c>
      <c r="E14" s="14">
        <f>'13 Sales'!E13</f>
        <v/>
      </c>
      <c r="F14" s="14">
        <f>'13 Sales'!F13</f>
        <v/>
      </c>
      <c r="G14" s="14">
        <f>'13 Sales'!G13</f>
        <v/>
      </c>
      <c r="H14" s="14">
        <f>'13 Sales'!H13</f>
        <v/>
      </c>
      <c r="I14" s="14">
        <f>'13 Sales'!I13</f>
        <v/>
      </c>
      <c r="J14" s="14">
        <f>'13 Sales'!J13</f>
        <v/>
      </c>
      <c r="K14" s="14">
        <f>'13 Sales'!K13</f>
        <v/>
      </c>
      <c r="L14" s="14">
        <f>'13 Sales'!L13</f>
        <v/>
      </c>
      <c r="M14" s="14">
        <f>'13 Sales'!M13</f>
        <v/>
      </c>
    </row>
    <row r="15">
      <c r="A15" t="inlineStr">
        <is>
          <t>OUT: staff (operating units, full from month one)</t>
        </is>
      </c>
      <c r="B15" s="14">
        <f>'1 Master'!$B$48*'3 HR'!$F$20</f>
        <v/>
      </c>
      <c r="C15" s="14">
        <f>'1 Master'!$B$48*'3 HR'!$F$20</f>
        <v/>
      </c>
      <c r="D15" s="14">
        <f>'1 Master'!$B$48*'3 HR'!$F$20</f>
        <v/>
      </c>
      <c r="E15" s="14">
        <f>'1 Master'!$B$48*'3 HR'!$F$20</f>
        <v/>
      </c>
      <c r="F15" s="14">
        <f>'1 Master'!$B$48*'3 HR'!$F$20</f>
        <v/>
      </c>
      <c r="G15" s="14">
        <f>'1 Master'!$B$48*'3 HR'!$F$20</f>
        <v/>
      </c>
      <c r="H15" s="14">
        <f>'1 Master'!$B$48*'3 HR'!$F$20</f>
        <v/>
      </c>
      <c r="I15" s="14">
        <f>'1 Master'!$B$48*'3 HR'!$F$20</f>
        <v/>
      </c>
      <c r="J15" s="14">
        <f>'1 Master'!$B$48*'3 HR'!$F$20</f>
        <v/>
      </c>
      <c r="K15" s="14">
        <f>'1 Master'!$B$48*'3 HR'!$F$20</f>
        <v/>
      </c>
      <c r="L15" s="14">
        <f>'1 Master'!$B$48*'3 HR'!$F$20</f>
        <v/>
      </c>
      <c r="M15" s="14">
        <f>'1 Master'!$B$48*'3 HR'!$F$20</f>
        <v/>
      </c>
    </row>
    <row r="16">
      <c r="A16" t="inlineStr">
        <is>
          <t>OUT: staff (head office, year-one share)</t>
        </is>
      </c>
      <c r="B16" s="14">
        <f>'1 Master'!$B$49*'3 HR'!$D$27</f>
        <v/>
      </c>
      <c r="C16" s="14">
        <f>'1 Master'!$B$49*'3 HR'!$D$27</f>
        <v/>
      </c>
      <c r="D16" s="14">
        <f>'1 Master'!$B$49*'3 HR'!$D$27</f>
        <v/>
      </c>
      <c r="E16" s="14">
        <f>'1 Master'!$B$49*'3 HR'!$D$27</f>
        <v/>
      </c>
      <c r="F16" s="14">
        <f>'1 Master'!$B$49*'3 HR'!$D$27</f>
        <v/>
      </c>
      <c r="G16" s="14">
        <f>'1 Master'!$B$49*'3 HR'!$D$27</f>
        <v/>
      </c>
      <c r="H16" s="14">
        <f>'1 Master'!$B$49*'3 HR'!$D$27</f>
        <v/>
      </c>
      <c r="I16" s="14">
        <f>'1 Master'!$B$49*'3 HR'!$D$27</f>
        <v/>
      </c>
      <c r="J16" s="14">
        <f>'1 Master'!$B$49*'3 HR'!$D$27</f>
        <v/>
      </c>
      <c r="K16" s="14">
        <f>'1 Master'!$B$49*'3 HR'!$D$27</f>
        <v/>
      </c>
      <c r="L16" s="14">
        <f>'1 Master'!$B$49*'3 HR'!$D$27</f>
        <v/>
      </c>
      <c r="M16" s="14">
        <f>'1 Master'!$B$49*'3 HR'!$D$27</f>
        <v/>
      </c>
    </row>
    <row r="17">
      <c r="A17" t="inlineStr">
        <is>
          <t>OUT: running costs, fixed (units)</t>
        </is>
      </c>
      <c r="B17" s="14">
        <f>'1 Master'!$B$48*'5 Running'!$E$11</f>
        <v/>
      </c>
      <c r="C17" s="14">
        <f>'1 Master'!$B$48*'5 Running'!$E$11</f>
        <v/>
      </c>
      <c r="D17" s="14">
        <f>'1 Master'!$B$48*'5 Running'!$E$11</f>
        <v/>
      </c>
      <c r="E17" s="14">
        <f>'1 Master'!$B$48*'5 Running'!$E$11</f>
        <v/>
      </c>
      <c r="F17" s="14">
        <f>'1 Master'!$B$48*'5 Running'!$E$11</f>
        <v/>
      </c>
      <c r="G17" s="14">
        <f>'1 Master'!$B$48*'5 Running'!$E$11</f>
        <v/>
      </c>
      <c r="H17" s="14">
        <f>'1 Master'!$B$48*'5 Running'!$E$11</f>
        <v/>
      </c>
      <c r="I17" s="14">
        <f>'1 Master'!$B$48*'5 Running'!$E$11</f>
        <v/>
      </c>
      <c r="J17" s="14">
        <f>'1 Master'!$B$48*'5 Running'!$E$11</f>
        <v/>
      </c>
      <c r="K17" s="14">
        <f>'1 Master'!$B$48*'5 Running'!$E$11</f>
        <v/>
      </c>
      <c r="L17" s="14">
        <f>'1 Master'!$B$48*'5 Running'!$E$11</f>
        <v/>
      </c>
      <c r="M17" s="14">
        <f>'1 Master'!$B$48*'5 Running'!$E$11</f>
        <v/>
      </c>
    </row>
    <row r="18">
      <c r="A18" t="inlineStr">
        <is>
          <t>OUT: running costs, varying with volume (units)</t>
        </is>
      </c>
      <c r="B18" s="14">
        <f>'1 Master'!$B$48*'5 Running'!$E$12*'13 Sales'!B$5</f>
        <v/>
      </c>
      <c r="C18" s="14">
        <f>'1 Master'!$B$48*'5 Running'!$E$12*'13 Sales'!C$5</f>
        <v/>
      </c>
      <c r="D18" s="14">
        <f>'1 Master'!$B$48*'5 Running'!$E$12*'13 Sales'!D$5</f>
        <v/>
      </c>
      <c r="E18" s="14">
        <f>'1 Master'!$B$48*'5 Running'!$E$12*'13 Sales'!E$5</f>
        <v/>
      </c>
      <c r="F18" s="14">
        <f>'1 Master'!$B$48*'5 Running'!$E$12*'13 Sales'!F$5</f>
        <v/>
      </c>
      <c r="G18" s="14">
        <f>'1 Master'!$B$48*'5 Running'!$E$12*'13 Sales'!G$5</f>
        <v/>
      </c>
      <c r="H18" s="14">
        <f>'1 Master'!$B$48*'5 Running'!$E$12*'13 Sales'!H$5</f>
        <v/>
      </c>
      <c r="I18" s="14">
        <f>'1 Master'!$B$48*'5 Running'!$E$12*'13 Sales'!I$5</f>
        <v/>
      </c>
      <c r="J18" s="14">
        <f>'1 Master'!$B$48*'5 Running'!$E$12*'13 Sales'!J$5</f>
        <v/>
      </c>
      <c r="K18" s="14">
        <f>'1 Master'!$B$48*'5 Running'!$E$12*'13 Sales'!K$5</f>
        <v/>
      </c>
      <c r="L18" s="14">
        <f>'1 Master'!$B$48*'5 Running'!$E$12*'13 Sales'!L$5</f>
        <v/>
      </c>
      <c r="M18" s="14">
        <f>'1 Master'!$B$48*'5 Running'!$E$12*'13 Sales'!M$5</f>
        <v/>
      </c>
    </row>
    <row r="19">
      <c r="A19" t="inlineStr">
        <is>
          <t>OUT: running costs (head office, year-one share)</t>
        </is>
      </c>
      <c r="B19" s="14">
        <f>'1 Master'!$B$49*'5 Running'!$E$20</f>
        <v/>
      </c>
      <c r="C19" s="14">
        <f>'1 Master'!$B$49*'5 Running'!$E$20</f>
        <v/>
      </c>
      <c r="D19" s="14">
        <f>'1 Master'!$B$49*'5 Running'!$E$20</f>
        <v/>
      </c>
      <c r="E19" s="14">
        <f>'1 Master'!$B$49*'5 Running'!$E$20</f>
        <v/>
      </c>
      <c r="F19" s="14">
        <f>'1 Master'!$B$49*'5 Running'!$E$20</f>
        <v/>
      </c>
      <c r="G19" s="14">
        <f>'1 Master'!$B$49*'5 Running'!$E$20</f>
        <v/>
      </c>
      <c r="H19" s="14">
        <f>'1 Master'!$B$49*'5 Running'!$E$20</f>
        <v/>
      </c>
      <c r="I19" s="14">
        <f>'1 Master'!$B$49*'5 Running'!$E$20</f>
        <v/>
      </c>
      <c r="J19" s="14">
        <f>'1 Master'!$B$49*'5 Running'!$E$20</f>
        <v/>
      </c>
      <c r="K19" s="14">
        <f>'1 Master'!$B$49*'5 Running'!$E$20</f>
        <v/>
      </c>
      <c r="L19" s="14">
        <f>'1 Master'!$B$49*'5 Running'!$E$20</f>
        <v/>
      </c>
      <c r="M19" s="14">
        <f>'1 Master'!$B$49*'5 Running'!$E$20</f>
        <v/>
      </c>
    </row>
    <row r="20">
      <c r="A20" t="inlineStr">
        <is>
          <t>OUT: start-up costs and capital assets (units)</t>
        </is>
      </c>
      <c r="B20" s="14">
        <f>'1 Master'!$B$48*('6 Start-up'!$B$5+'4 Depreciation'!$F$5)</f>
        <v/>
      </c>
      <c r="C20" s="14">
        <f>0</f>
        <v/>
      </c>
      <c r="D20" s="14">
        <f>0</f>
        <v/>
      </c>
      <c r="E20" s="14">
        <f>0</f>
        <v/>
      </c>
      <c r="F20" s="14">
        <f>0</f>
        <v/>
      </c>
      <c r="G20" s="14">
        <f>0</f>
        <v/>
      </c>
      <c r="H20" s="14">
        <f>0</f>
        <v/>
      </c>
      <c r="I20" s="14">
        <f>0</f>
        <v/>
      </c>
      <c r="J20" s="14">
        <f>0</f>
        <v/>
      </c>
      <c r="K20" s="14">
        <f>0</f>
        <v/>
      </c>
      <c r="L20" s="14">
        <f>0</f>
        <v/>
      </c>
      <c r="M20" s="14">
        <f>0</f>
        <v/>
      </c>
    </row>
    <row r="21">
      <c r="A21" t="inlineStr">
        <is>
          <t>OUT: development and capital assets (head office)</t>
        </is>
      </c>
      <c r="B21" s="14">
        <f>'6 Start-up'!$B$21+'4 Depreciation'!$F$8</f>
        <v/>
      </c>
      <c r="C21" s="14">
        <f>0</f>
        <v/>
      </c>
      <c r="D21" s="14">
        <f>0</f>
        <v/>
      </c>
      <c r="E21" s="14">
        <f>0</f>
        <v/>
      </c>
      <c r="F21" s="14">
        <f>0</f>
        <v/>
      </c>
      <c r="G21" s="14">
        <f>0</f>
        <v/>
      </c>
      <c r="H21" s="14">
        <f>0</f>
        <v/>
      </c>
      <c r="I21" s="14">
        <f>0</f>
        <v/>
      </c>
      <c r="J21" s="14">
        <f>0</f>
        <v/>
      </c>
      <c r="K21" s="14">
        <f>0</f>
        <v/>
      </c>
      <c r="L21" s="14">
        <f>0</f>
        <v/>
      </c>
      <c r="M21" s="14">
        <f>0</f>
        <v/>
      </c>
    </row>
    <row r="22">
      <c r="A22" t="inlineStr">
        <is>
          <t>OUT: loan repayment</t>
        </is>
      </c>
      <c r="B22" s="14">
        <f>$B$7</f>
        <v/>
      </c>
      <c r="C22" s="14">
        <f>$B$7</f>
        <v/>
      </c>
      <c r="D22" s="14">
        <f>$B$7</f>
        <v/>
      </c>
      <c r="E22" s="14">
        <f>$B$7</f>
        <v/>
      </c>
      <c r="F22" s="14">
        <f>$B$7</f>
        <v/>
      </c>
      <c r="G22" s="14">
        <f>$B$7</f>
        <v/>
      </c>
      <c r="H22" s="14">
        <f>$B$7</f>
        <v/>
      </c>
      <c r="I22" s="14">
        <f>$B$7</f>
        <v/>
      </c>
      <c r="J22" s="14">
        <f>$B$7</f>
        <v/>
      </c>
      <c r="K22" s="14">
        <f>$B$7</f>
        <v/>
      </c>
      <c r="L22" s="14">
        <f>$B$7</f>
        <v/>
      </c>
      <c r="M22" s="14">
        <f>$B$7</f>
        <v/>
      </c>
    </row>
    <row r="23">
      <c r="A23" s="3" t="inlineStr">
        <is>
          <t>Total out</t>
        </is>
      </c>
      <c r="B23" s="14">
        <f>SUM(B14:B22)</f>
        <v/>
      </c>
      <c r="C23" s="14">
        <f>SUM(C14:C22)</f>
        <v/>
      </c>
      <c r="D23" s="14">
        <f>SUM(D14:D22)</f>
        <v/>
      </c>
      <c r="E23" s="14">
        <f>SUM(E14:E22)</f>
        <v/>
      </c>
      <c r="F23" s="14">
        <f>SUM(F14:F22)</f>
        <v/>
      </c>
      <c r="G23" s="14">
        <f>SUM(G14:G22)</f>
        <v/>
      </c>
      <c r="H23" s="14">
        <f>SUM(H14:H22)</f>
        <v/>
      </c>
      <c r="I23" s="14">
        <f>SUM(I14:I22)</f>
        <v/>
      </c>
      <c r="J23" s="14">
        <f>SUM(J14:J22)</f>
        <v/>
      </c>
      <c r="K23" s="14">
        <f>SUM(K14:K22)</f>
        <v/>
      </c>
      <c r="L23" s="14">
        <f>SUM(L14:L22)</f>
        <v/>
      </c>
      <c r="M23" s="14">
        <f>SUM(M14:M22)</f>
        <v/>
      </c>
      <c r="N23" s="14">
        <f>SUM(B23:M23)</f>
        <v/>
      </c>
    </row>
    <row r="24">
      <c r="A24" s="3" t="inlineStr">
        <is>
          <t>Net cash flow</t>
        </is>
      </c>
      <c r="B24" s="14">
        <f>B13-B23</f>
        <v/>
      </c>
      <c r="C24" s="14">
        <f>C13-C23</f>
        <v/>
      </c>
      <c r="D24" s="14">
        <f>D13-D23</f>
        <v/>
      </c>
      <c r="E24" s="14">
        <f>E13-E23</f>
        <v/>
      </c>
      <c r="F24" s="14">
        <f>F13-F23</f>
        <v/>
      </c>
      <c r="G24" s="14">
        <f>G13-G23</f>
        <v/>
      </c>
      <c r="H24" s="14">
        <f>H13-H23</f>
        <v/>
      </c>
      <c r="I24" s="14">
        <f>I13-I23</f>
        <v/>
      </c>
      <c r="J24" s="14">
        <f>J13-J23</f>
        <v/>
      </c>
      <c r="K24" s="14">
        <f>K13-K23</f>
        <v/>
      </c>
      <c r="L24" s="14">
        <f>L13-L23</f>
        <v/>
      </c>
      <c r="M24" s="14">
        <f>M13-M23</f>
        <v/>
      </c>
      <c r="N24" s="14">
        <f>SUM(B24:M24)</f>
        <v/>
      </c>
    </row>
    <row r="25">
      <c r="A25" t="inlineStr">
        <is>
          <t>Opening balance</t>
        </is>
      </c>
      <c r="B25" s="14">
        <f>'1 Master'!$B$50</f>
        <v/>
      </c>
      <c r="C25" s="14">
        <f>B26</f>
        <v/>
      </c>
      <c r="D25" s="14">
        <f>C26</f>
        <v/>
      </c>
      <c r="E25" s="14">
        <f>D26</f>
        <v/>
      </c>
      <c r="F25" s="14">
        <f>E26</f>
        <v/>
      </c>
      <c r="G25" s="14">
        <f>F26</f>
        <v/>
      </c>
      <c r="H25" s="14">
        <f>G26</f>
        <v/>
      </c>
      <c r="I25" s="14">
        <f>H26</f>
        <v/>
      </c>
      <c r="J25" s="14">
        <f>I26</f>
        <v/>
      </c>
      <c r="K25" s="14">
        <f>J26</f>
        <v/>
      </c>
      <c r="L25" s="14">
        <f>K26</f>
        <v/>
      </c>
      <c r="M25" s="14">
        <f>L26</f>
        <v/>
      </c>
    </row>
    <row r="26">
      <c r="A26" s="3" t="inlineStr">
        <is>
          <t>Closing balance</t>
        </is>
      </c>
      <c r="B26" s="14">
        <f>B25+B24</f>
        <v/>
      </c>
      <c r="C26" s="14">
        <f>C25+C24</f>
        <v/>
      </c>
      <c r="D26" s="14">
        <f>D25+D24</f>
        <v/>
      </c>
      <c r="E26" s="14">
        <f>E25+E24</f>
        <v/>
      </c>
      <c r="F26" s="14">
        <f>F25+F24</f>
        <v/>
      </c>
      <c r="G26" s="14">
        <f>G25+G24</f>
        <v/>
      </c>
      <c r="H26" s="14">
        <f>H25+H24</f>
        <v/>
      </c>
      <c r="I26" s="14">
        <f>I25+I24</f>
        <v/>
      </c>
      <c r="J26" s="14">
        <f>J25+J24</f>
        <v/>
      </c>
      <c r="K26" s="14">
        <f>K25+K24</f>
        <v/>
      </c>
      <c r="L26" s="14">
        <f>L25+L24</f>
        <v/>
      </c>
      <c r="M26" s="14">
        <f>M25+M24</f>
        <v/>
      </c>
    </row>
    <row r="27">
      <c r="A27" s="3" t="inlineStr">
        <is>
          <t>Stress: closing balance with revenue reduced</t>
        </is>
      </c>
      <c r="B27" s="14">
        <f>'1 Master'!$B$50+B24-B10*'1 Master'!$B$55</f>
        <v/>
      </c>
      <c r="C27" s="14">
        <f>B27+C24-C10*'1 Master'!$B$55</f>
        <v/>
      </c>
      <c r="D27" s="14">
        <f>C27+D24-D10*'1 Master'!$B$55</f>
        <v/>
      </c>
      <c r="E27" s="14">
        <f>D27+E24-E10*'1 Master'!$B$55</f>
        <v/>
      </c>
      <c r="F27" s="14">
        <f>E27+F24-F10*'1 Master'!$B$55</f>
        <v/>
      </c>
      <c r="G27" s="14">
        <f>F27+G24-G10*'1 Master'!$B$55</f>
        <v/>
      </c>
      <c r="H27" s="14">
        <f>G27+H24-H10*'1 Master'!$B$55</f>
        <v/>
      </c>
      <c r="I27" s="14">
        <f>H27+I24-I10*'1 Master'!$B$55</f>
        <v/>
      </c>
      <c r="J27" s="14">
        <f>I27+J24-J10*'1 Master'!$B$55</f>
        <v/>
      </c>
      <c r="K27" s="14">
        <f>J27+K24-K10*'1 Master'!$B$55</f>
        <v/>
      </c>
      <c r="L27" s="14">
        <f>K27+L24-L10*'1 Master'!$B$55</f>
        <v/>
      </c>
      <c r="M27" s="14">
        <f>L27+M24-M10*'1 Master'!$B$55</f>
        <v/>
      </c>
    </row>
    <row r="29">
      <c r="A29" s="3" t="inlineStr">
        <is>
          <t>Lowest closing balance in the year</t>
        </is>
      </c>
      <c r="B29" s="14">
        <f>MIN(B26:M26)</f>
        <v/>
      </c>
    </row>
    <row r="30">
      <c r="A30" s="3" t="inlineStr">
        <is>
          <t>Lowest closing balance under stress</t>
        </is>
      </c>
      <c r="B30" s="14">
        <f>MIN(B27:M27)</f>
        <v/>
      </c>
    </row>
    <row r="31">
      <c r="A31" t="inlineStr">
        <is>
          <t>Closing balance, month twelve</t>
        </is>
      </c>
      <c r="B31" s="14">
        <f>M26</f>
        <v/>
      </c>
    </row>
    <row r="32">
      <c r="A32" t="inlineStr">
        <is>
          <t>Cash needed = −(lowest closing balance) if negative, else zero</t>
        </is>
      </c>
      <c r="B32" s="14">
        <f>MAX(0,-B29)</f>
        <v/>
      </c>
    </row>
    <row r="33">
      <c r="A33" t="inlineStr">
        <is>
          <t>Cash needed under stress</t>
        </is>
      </c>
      <c r="B33" s="14">
        <f>MAX(0,-B30)</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s>
  <sheetData>
    <row r="1">
      <c r="A1" s="1" t="inlineStr">
        <is>
          <t>Roll-out — operating units by year, the loan schedule and capital spend</t>
        </is>
      </c>
    </row>
    <row r="2">
      <c r="A2" s="2" t="inlineStr">
        <is>
          <t>Drives tabs 16 to 18. A cohort of units opens at the start of its year and follows the year-one volume profile on tab 13; units already open run at steady state. Blue cells are inputs.</t>
        </is>
      </c>
    </row>
    <row r="4">
      <c r="A4" s="3" t="inlineStr">
        <is>
          <t>Year</t>
        </is>
      </c>
      <c r="B4" s="3" t="n">
        <v>1</v>
      </c>
      <c r="C4" s="3" t="n">
        <v>2</v>
      </c>
      <c r="D4" s="3" t="n">
        <v>3</v>
      </c>
      <c r="E4" s="3" t="n">
        <v>4</v>
      </c>
      <c r="F4" s="3" t="n">
        <v>5</v>
      </c>
    </row>
    <row r="5">
      <c r="A5" s="3" t="inlineStr">
        <is>
          <t>Operating units open at the year end</t>
        </is>
      </c>
      <c r="B5" s="21" t="n">
        <v>0.76</v>
      </c>
      <c r="C5" s="21" t="n">
        <v>3</v>
      </c>
      <c r="D5" s="21" t="n">
        <v>3</v>
      </c>
      <c r="E5" s="21" t="n">
        <v>3</v>
      </c>
      <c r="F5" s="21" t="n">
        <v>3</v>
      </c>
    </row>
    <row r="6">
      <c r="A6" t="inlineStr">
        <is>
          <t>New units opened in the year</t>
        </is>
      </c>
      <c r="B6" s="13">
        <f>B5</f>
        <v/>
      </c>
      <c r="C6" s="13">
        <f>C5-B5</f>
        <v/>
      </c>
      <c r="D6" s="13">
        <f>D5-C5</f>
        <v/>
      </c>
      <c r="E6" s="13">
        <f>E5-D5</f>
        <v/>
      </c>
      <c r="F6" s="13">
        <f>F5-E5</f>
        <v/>
      </c>
    </row>
    <row r="7">
      <c r="A7" t="inlineStr">
        <is>
          <t>Unit-months at steady-state volume = 12 × units open last year + new units × sum of the ramp</t>
        </is>
      </c>
      <c r="B7" s="17">
        <f>B6*SUM('13 Sales'!$B$5:$M$5)</f>
        <v/>
      </c>
      <c r="C7" s="17">
        <f>12*B5+C6*SUM('13 Sales'!$B$5:$M$5)</f>
        <v/>
      </c>
      <c r="D7" s="17">
        <f>12*C5+D6*SUM('13 Sales'!$B$5:$M$5)</f>
        <v/>
      </c>
      <c r="E7" s="17">
        <f>12*D5+E6*SUM('13 Sales'!$B$5:$M$5)</f>
        <v/>
      </c>
      <c r="F7" s="17">
        <f>12*E5+F6*SUM('13 Sales'!$B$5:$M$5)</f>
        <v/>
      </c>
    </row>
    <row r="8">
      <c r="A8" t="inlineStr">
        <is>
          <t>Head-office share staffed and run</t>
        </is>
      </c>
      <c r="B8" s="10" t="n">
        <v>1</v>
      </c>
      <c r="C8" s="10" t="n">
        <v>1</v>
      </c>
      <c r="D8" s="10" t="n">
        <v>1</v>
      </c>
      <c r="E8" s="10" t="n">
        <v>1</v>
      </c>
      <c r="F8" s="10" t="n">
        <v>1</v>
      </c>
    </row>
    <row r="9">
      <c r="A9" t="inlineStr">
        <is>
          <t>Equity raised in the year</t>
        </is>
      </c>
      <c r="B9" s="18" t="n">
        <v>5000000</v>
      </c>
      <c r="C9" s="18" t="n">
        <v>0</v>
      </c>
      <c r="D9" s="18" t="n">
        <v>0</v>
      </c>
      <c r="E9" s="18" t="n">
        <v>0</v>
      </c>
      <c r="F9" s="18" t="n">
        <v>0</v>
      </c>
    </row>
    <row r="10">
      <c r="A10" t="inlineStr">
        <is>
          <t>Operating units running at the year end = open last year + new units × the month-twelve share</t>
        </is>
      </c>
      <c r="B10" s="22">
        <f>B6*'13 Sales'!$M$5</f>
        <v/>
      </c>
      <c r="C10" s="22">
        <f>B5+C6*'13 Sales'!$M$5</f>
        <v/>
      </c>
      <c r="D10" s="22">
        <f>C5+D6*'13 Sales'!$M$5</f>
        <v/>
      </c>
      <c r="E10" s="22">
        <f>D5+E6*'13 Sales'!$M$5</f>
        <v/>
      </c>
      <c r="F10" s="22">
        <f>E5+F6*'13 Sales'!$M$5</f>
        <v/>
      </c>
    </row>
    <row r="11">
      <c r="A11" t="inlineStr">
        <is>
          <t>Loans to customers at the year end = balance lent per transaction × transactions per unit × units running</t>
        </is>
      </c>
      <c r="B11" s="14">
        <f>'1 Master'!$B$46*'2 Customers'!$B$10*B10</f>
        <v/>
      </c>
      <c r="C11" s="14">
        <f>'1 Master'!$B$46*'2 Customers'!$B$10*C10</f>
        <v/>
      </c>
      <c r="D11" s="14">
        <f>'1 Master'!$B$46*'2 Customers'!$B$10*D10</f>
        <v/>
      </c>
      <c r="E11" s="14">
        <f>'1 Master'!$B$46*'2 Customers'!$B$10*E10</f>
        <v/>
      </c>
      <c r="F11" s="14">
        <f>'1 Master'!$B$46*'2 Customers'!$B$10*F10</f>
        <v/>
      </c>
    </row>
    <row r="12">
      <c r="A12" t="inlineStr">
        <is>
          <t>Increase in loans to customers in the year</t>
        </is>
      </c>
      <c r="B12" s="14">
        <f>B11</f>
        <v/>
      </c>
      <c r="C12" s="14">
        <f>C11-B11</f>
        <v/>
      </c>
      <c r="D12" s="14">
        <f>D11-C11</f>
        <v/>
      </c>
      <c r="E12" s="14">
        <f>E11-D11</f>
        <v/>
      </c>
      <c r="F12" s="14">
        <f>F11-E11</f>
        <v/>
      </c>
    </row>
    <row r="13">
      <c r="A13" t="inlineStr">
        <is>
          <t>Deposits funding the book = book × (1 − capital share)</t>
        </is>
      </c>
      <c r="B13" s="14">
        <f>B11*(1-'1 Master'!$B$47)</f>
        <v/>
      </c>
      <c r="C13" s="14">
        <f>C11*(1-'1 Master'!$B$47)</f>
        <v/>
      </c>
      <c r="D13" s="14">
        <f>D11*(1-'1 Master'!$B$47)</f>
        <v/>
      </c>
      <c r="E13" s="14">
        <f>E11*(1-'1 Master'!$B$47)</f>
        <v/>
      </c>
      <c r="F13" s="14">
        <f>F11*(1-'1 Master'!$B$47)</f>
        <v/>
      </c>
    </row>
    <row r="14">
      <c r="A14" t="inlineStr">
        <is>
          <t>Capital held against the book = book × capital share</t>
        </is>
      </c>
      <c r="B14" s="14">
        <f>B11*'1 Master'!$B$47</f>
        <v/>
      </c>
      <c r="C14" s="14">
        <f>C11*'1 Master'!$B$47</f>
        <v/>
      </c>
      <c r="D14" s="14">
        <f>D11*'1 Master'!$B$47</f>
        <v/>
      </c>
      <c r="E14" s="14">
        <f>E11*'1 Master'!$B$47</f>
        <v/>
      </c>
      <c r="F14" s="14">
        <f>F11*'1 Master'!$B$47</f>
        <v/>
      </c>
    </row>
    <row r="15">
      <c r="A15" t="inlineStr"/>
    </row>
    <row r="16">
      <c r="A16" t="inlineStr">
        <is>
          <t>Loan drawn</t>
        </is>
      </c>
      <c r="B16" s="14">
        <f>'1 Master'!$B$51</f>
        <v/>
      </c>
      <c r="C16" s="14">
        <f>0</f>
        <v/>
      </c>
      <c r="D16" s="14">
        <f>0</f>
        <v/>
      </c>
      <c r="E16" s="14">
        <f>0</f>
        <v/>
      </c>
      <c r="F16" s="14">
        <f>0</f>
        <v/>
      </c>
    </row>
    <row r="17">
      <c r="A17" t="inlineStr">
        <is>
          <t>Loan balance at the start of the year</t>
        </is>
      </c>
      <c r="B17" s="14">
        <f>'1 Master'!$B$51</f>
        <v/>
      </c>
      <c r="C17" s="14">
        <f>B18</f>
        <v/>
      </c>
      <c r="D17" s="14">
        <f>C18</f>
        <v/>
      </c>
      <c r="E17" s="14">
        <f>D18</f>
        <v/>
      </c>
      <c r="F17" s="14">
        <f>E18</f>
        <v/>
      </c>
    </row>
    <row r="18">
      <c r="A18" s="3" t="inlineStr">
        <is>
          <t>Loan balance at the end of the year</t>
        </is>
      </c>
      <c r="B18" s="14">
        <f>IF((12*B$4)&gt;='1 Master'!$B$53,0,IF('1 Master'!$B$52=0,MAX(0,'1 Master'!$B$51-'14 Cash flow'!$B$7*(12*B$4)),MAX(0,'1 Master'!$B$51*(1+'1 Master'!$B$52/12)^(12*B$4)-'14 Cash flow'!$B$7*((1+'1 Master'!$B$52/12)^(12*B$4)-1)/('1 Master'!$B$52/12))))</f>
        <v/>
      </c>
      <c r="C18" s="14">
        <f>IF((12*C$4)&gt;='1 Master'!$B$53,0,IF('1 Master'!$B$52=0,MAX(0,'1 Master'!$B$51-'14 Cash flow'!$B$7*(12*C$4)),MAX(0,'1 Master'!$B$51*(1+'1 Master'!$B$52/12)^(12*C$4)-'14 Cash flow'!$B$7*((1+'1 Master'!$B$52/12)^(12*C$4)-1)/('1 Master'!$B$52/12))))</f>
        <v/>
      </c>
      <c r="D18" s="14">
        <f>IF((12*D$4)&gt;='1 Master'!$B$53,0,IF('1 Master'!$B$52=0,MAX(0,'1 Master'!$B$51-'14 Cash flow'!$B$7*(12*D$4)),MAX(0,'1 Master'!$B$51*(1+'1 Master'!$B$52/12)^(12*D$4)-'14 Cash flow'!$B$7*((1+'1 Master'!$B$52/12)^(12*D$4)-1)/('1 Master'!$B$52/12))))</f>
        <v/>
      </c>
      <c r="E18" s="14">
        <f>IF((12*E$4)&gt;='1 Master'!$B$53,0,IF('1 Master'!$B$52=0,MAX(0,'1 Master'!$B$51-'14 Cash flow'!$B$7*(12*E$4)),MAX(0,'1 Master'!$B$51*(1+'1 Master'!$B$52/12)^(12*E$4)-'14 Cash flow'!$B$7*((1+'1 Master'!$B$52/12)^(12*E$4)-1)/('1 Master'!$B$52/12))))</f>
        <v/>
      </c>
      <c r="F18" s="14">
        <f>IF((12*F$4)&gt;='1 Master'!$B$53,0,IF('1 Master'!$B$52=0,MAX(0,'1 Master'!$B$51-'14 Cash flow'!$B$7*(12*F$4)),MAX(0,'1 Master'!$B$51*(1+'1 Master'!$B$52/12)^(12*F$4)-'14 Cash flow'!$B$7*((1+'1 Master'!$B$52/12)^(12*F$4)-1)/('1 Master'!$B$52/12))))</f>
        <v/>
      </c>
    </row>
    <row r="19">
      <c r="A19" t="inlineStr">
        <is>
          <t>Loan payments in the year</t>
        </is>
      </c>
      <c r="B19" s="14">
        <f>'14 Cash flow'!$B$7*MIN(12,MAX(0,'1 Master'!$B$53-12*(B$4-1)))</f>
        <v/>
      </c>
      <c r="C19" s="14">
        <f>'14 Cash flow'!$B$7*MIN(12,MAX(0,'1 Master'!$B$53-12*(C$4-1)))</f>
        <v/>
      </c>
      <c r="D19" s="14">
        <f>'14 Cash flow'!$B$7*MIN(12,MAX(0,'1 Master'!$B$53-12*(D$4-1)))</f>
        <v/>
      </c>
      <c r="E19" s="14">
        <f>'14 Cash flow'!$B$7*MIN(12,MAX(0,'1 Master'!$B$53-12*(E$4-1)))</f>
        <v/>
      </c>
      <c r="F19" s="14">
        <f>'14 Cash flow'!$B$7*MIN(12,MAX(0,'1 Master'!$B$53-12*(F$4-1)))</f>
        <v/>
      </c>
    </row>
    <row r="20">
      <c r="A20" t="inlineStr">
        <is>
          <t>Loan principal repaid = start balance − end balance</t>
        </is>
      </c>
      <c r="B20" s="14">
        <f>B17-B18</f>
        <v/>
      </c>
      <c r="C20" s="14">
        <f>C17-C18</f>
        <v/>
      </c>
      <c r="D20" s="14">
        <f>D17-D18</f>
        <v/>
      </c>
      <c r="E20" s="14">
        <f>E17-E18</f>
        <v/>
      </c>
      <c r="F20" s="14">
        <f>F17-F18</f>
        <v/>
      </c>
    </row>
    <row r="21">
      <c r="A21" t="inlineStr">
        <is>
          <t>Loan interest = payments − principal</t>
        </is>
      </c>
      <c r="B21" s="14">
        <f>B19-B20</f>
        <v/>
      </c>
      <c r="C21" s="14">
        <f>C19-C20</f>
        <v/>
      </c>
      <c r="D21" s="14">
        <f>D19-D20</f>
        <v/>
      </c>
      <c r="E21" s="14">
        <f>E19-E20</f>
        <v/>
      </c>
      <c r="F21" s="14">
        <f>F19-F20</f>
        <v/>
      </c>
    </row>
    <row r="22">
      <c r="A22" t="inlineStr"/>
    </row>
    <row r="23">
      <c r="A23" t="inlineStr">
        <is>
          <t>Capital spend on new units and, in year one, head office</t>
        </is>
      </c>
      <c r="B23" s="14">
        <f>'4 Depreciation'!$F$5*B6+'4 Depreciation'!$F$8</f>
        <v/>
      </c>
      <c r="C23" s="14">
        <f>'4 Depreciation'!$F$5*C6</f>
        <v/>
      </c>
      <c r="D23" s="14">
        <f>'4 Depreciation'!$F$5*D6</f>
        <v/>
      </c>
      <c r="E23" s="14">
        <f>'4 Depreciation'!$F$5*E6</f>
        <v/>
      </c>
      <c r="F23" s="14">
        <f>'4 Depreciation'!$F$5*F6</f>
        <v/>
      </c>
    </row>
    <row r="24">
      <c r="A24" t="inlineStr">
        <is>
          <t>Replacement of unit assets at the end of their life</t>
        </is>
      </c>
      <c r="B24" s="14">
        <f>SUMPRODUCT($B$31:$B$35,C31:C35)</f>
        <v/>
      </c>
      <c r="C24" s="14">
        <f>SUMPRODUCT($B$31:$B$35,D31:D35)</f>
        <v/>
      </c>
      <c r="D24" s="14">
        <f>SUMPRODUCT($B$31:$B$35,E31:E35)</f>
        <v/>
      </c>
      <c r="E24" s="14">
        <f>SUMPRODUCT($B$31:$B$35,F31:F35)</f>
        <v/>
      </c>
      <c r="F24" s="14">
        <f>SUMPRODUCT($B$31:$B$35,G31:G35)</f>
        <v/>
      </c>
    </row>
    <row r="25">
      <c r="A25" t="inlineStr">
        <is>
          <t>Replacement of head-office assets at the end of their life</t>
        </is>
      </c>
      <c r="B25" s="14">
        <f>IF(B$4&gt;1,0,0)</f>
        <v/>
      </c>
      <c r="C25" s="14">
        <f>IF(C$4&gt;1,0,0)</f>
        <v/>
      </c>
      <c r="D25" s="14">
        <f>IF(D$4&gt;1,0,0)</f>
        <v/>
      </c>
      <c r="E25" s="14">
        <f>IF(E$4&gt;1,0,0)</f>
        <v/>
      </c>
      <c r="F25" s="14">
        <f>IF(F$4&gt;1,0,0)</f>
        <v/>
      </c>
    </row>
    <row r="26">
      <c r="A26" t="inlineStr">
        <is>
          <t>Fixed assets, net book value at the start of the year</t>
        </is>
      </c>
      <c r="B26" s="14">
        <f>0</f>
        <v/>
      </c>
      <c r="C26" s="14">
        <f>B28</f>
        <v/>
      </c>
      <c r="D26" s="14">
        <f>C28</f>
        <v/>
      </c>
      <c r="E26" s="14">
        <f>D28</f>
        <v/>
      </c>
      <c r="F26" s="14">
        <f>E28</f>
        <v/>
      </c>
    </row>
    <row r="27">
      <c r="A27" t="inlineStr">
        <is>
          <t>Depreciation charge = 12 × (per-unit depreciation × units + head-office depreciation), capped at what is left to write off</t>
        </is>
      </c>
      <c r="B27" s="14">
        <f>MIN(12*('4 Depreciation'!$G$5*B5+'4 Depreciation'!$G$8),B26+B23+B24+B25)</f>
        <v/>
      </c>
      <c r="C27" s="14">
        <f>MIN(12*('4 Depreciation'!$G$5*C5+'4 Depreciation'!$G$8),C26+C23+C24+C25)</f>
        <v/>
      </c>
      <c r="D27" s="14">
        <f>MIN(12*('4 Depreciation'!$G$5*D5+'4 Depreciation'!$G$8),D26+D23+D24+D25)</f>
        <v/>
      </c>
      <c r="E27" s="14">
        <f>MIN(12*('4 Depreciation'!$G$5*E5+'4 Depreciation'!$G$8),E26+E23+E24+E25)</f>
        <v/>
      </c>
      <c r="F27" s="14">
        <f>MIN(12*('4 Depreciation'!$G$5*F5+'4 Depreciation'!$G$8),F26+F23+F24+F25)</f>
        <v/>
      </c>
    </row>
    <row r="28">
      <c r="A28" s="3" t="inlineStr">
        <is>
          <t>Fixed assets, net book value at the end of the year</t>
        </is>
      </c>
      <c r="B28" s="14">
        <f>B26+B23+B24+B25-B27</f>
        <v/>
      </c>
      <c r="C28" s="14">
        <f>C26+C23+C24+C25-C27</f>
        <v/>
      </c>
      <c r="D28" s="14">
        <f>D26+D23+D24+D25-D27</f>
        <v/>
      </c>
      <c r="E28" s="14">
        <f>E26+E23+E24+E25-E27</f>
        <v/>
      </c>
      <c r="F28" s="14">
        <f>F26+F23+F24+F25-F27</f>
        <v/>
      </c>
    </row>
    <row r="29">
      <c r="A29" s="2" t="inlineStr">
        <is>
          <t>Replacement cost per unit of each cohort, by year — an asset bought in month one of the cohort's first year is replaced in the year that holds the month after its life ends</t>
        </is>
      </c>
    </row>
    <row r="30">
      <c r="A30" s="5" t="inlineStr">
        <is>
          <t>Cohort (year the units opened)</t>
        </is>
      </c>
      <c r="B30" s="5" t="inlineStr">
        <is>
          <t>Units in the cohort</t>
        </is>
      </c>
      <c r="C30" s="5" t="inlineStr">
        <is>
          <t>Year 1</t>
        </is>
      </c>
      <c r="D30" s="5" t="inlineStr">
        <is>
          <t>Year 2</t>
        </is>
      </c>
      <c r="E30" s="5" t="inlineStr">
        <is>
          <t>Year 3</t>
        </is>
      </c>
      <c r="F30" s="5" t="inlineStr">
        <is>
          <t>Year 4</t>
        </is>
      </c>
      <c r="G30" s="5" t="inlineStr">
        <is>
          <t>Year 5</t>
        </is>
      </c>
    </row>
    <row r="31">
      <c r="A31" t="n">
        <v>1</v>
      </c>
      <c r="B31" s="13">
        <f>B$6</f>
        <v/>
      </c>
      <c r="C31" s="14">
        <f>IF(B$4&gt;$A31,0,0)</f>
        <v/>
      </c>
      <c r="D31" s="14">
        <f>IF(C$4&gt;$A31,0,0)</f>
        <v/>
      </c>
      <c r="E31" s="14">
        <f>IF(D$4&gt;$A31,0,0)</f>
        <v/>
      </c>
      <c r="F31" s="14">
        <f>IF(E$4&gt;$A31,0,0)</f>
        <v/>
      </c>
      <c r="G31" s="14">
        <f>IF(F$4&gt;$A31,0,0)</f>
        <v/>
      </c>
    </row>
    <row r="32">
      <c r="A32" t="n">
        <v>2</v>
      </c>
      <c r="B32" s="13">
        <f>C$6</f>
        <v/>
      </c>
      <c r="C32" s="14">
        <f>IF(B$4&gt;$A32,0,0)</f>
        <v/>
      </c>
      <c r="D32" s="14">
        <f>IF(C$4&gt;$A32,0,0)</f>
        <v/>
      </c>
      <c r="E32" s="14">
        <f>IF(D$4&gt;$A32,0,0)</f>
        <v/>
      </c>
      <c r="F32" s="14">
        <f>IF(E$4&gt;$A32,0,0)</f>
        <v/>
      </c>
      <c r="G32" s="14">
        <f>IF(F$4&gt;$A32,0,0)</f>
        <v/>
      </c>
    </row>
    <row r="33">
      <c r="A33" t="n">
        <v>3</v>
      </c>
      <c r="B33" s="13">
        <f>D$6</f>
        <v/>
      </c>
      <c r="C33" s="14">
        <f>IF(B$4&gt;$A33,0,0)</f>
        <v/>
      </c>
      <c r="D33" s="14">
        <f>IF(C$4&gt;$A33,0,0)</f>
        <v/>
      </c>
      <c r="E33" s="14">
        <f>IF(D$4&gt;$A33,0,0)</f>
        <v/>
      </c>
      <c r="F33" s="14">
        <f>IF(E$4&gt;$A33,0,0)</f>
        <v/>
      </c>
      <c r="G33" s="14">
        <f>IF(F$4&gt;$A33,0,0)</f>
        <v/>
      </c>
    </row>
    <row r="34">
      <c r="A34" t="n">
        <v>4</v>
      </c>
      <c r="B34" s="13">
        <f>E$6</f>
        <v/>
      </c>
      <c r="C34" s="14">
        <f>IF(B$4&gt;$A34,0,0)</f>
        <v/>
      </c>
      <c r="D34" s="14">
        <f>IF(C$4&gt;$A34,0,0)</f>
        <v/>
      </c>
      <c r="E34" s="14">
        <f>IF(D$4&gt;$A34,0,0)</f>
        <v/>
      </c>
      <c r="F34" s="14">
        <f>IF(E$4&gt;$A34,0,0)</f>
        <v/>
      </c>
      <c r="G34" s="14">
        <f>IF(F$4&gt;$A34,0,0)</f>
        <v/>
      </c>
    </row>
    <row r="35">
      <c r="A35" t="n">
        <v>5</v>
      </c>
      <c r="B35" s="13">
        <f>F$6</f>
        <v/>
      </c>
      <c r="C35" s="14">
        <f>IF(B$4&gt;$A35,0,0)</f>
        <v/>
      </c>
      <c r="D35" s="14">
        <f>IF(C$4&gt;$A35,0,0)</f>
        <v/>
      </c>
      <c r="E35" s="14">
        <f>IF(D$4&gt;$A35,0,0)</f>
        <v/>
      </c>
      <c r="F35" s="14">
        <f>IF(E$4&gt;$A35,0,0)</f>
        <v/>
      </c>
      <c r="G35" s="14">
        <f>IF(F$4&gt;$A35,0,0)</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Forecast profit and loss — years one to 5</t>
        </is>
      </c>
    </row>
    <row r="2">
      <c r="A2" s="2" t="inlineStr">
        <is>
          <t>Conventional accounting: start-up costs and head-office development are charged when paid; tax is charged on profit after losses brought forward. Costs are negative.</t>
        </is>
      </c>
    </row>
    <row r="4">
      <c r="A4" s="5" t="inlineStr">
        <is>
          <t>Line</t>
        </is>
      </c>
      <c r="B4" s="5" t="inlineStr">
        <is>
          <t>Year 1</t>
        </is>
      </c>
      <c r="C4" s="5" t="inlineStr">
        <is>
          <t>Year 2</t>
        </is>
      </c>
      <c r="D4" s="5" t="inlineStr">
        <is>
          <t>Year 3</t>
        </is>
      </c>
      <c r="E4" s="5" t="inlineStr">
        <is>
          <t>Year 4</t>
        </is>
      </c>
      <c r="F4" s="5" t="inlineStr">
        <is>
          <t>Year 5</t>
        </is>
      </c>
      <c r="G4" s="5" t="inlineStr">
        <is>
          <t>Total</t>
        </is>
      </c>
    </row>
    <row r="5">
      <c r="A5" t="inlineStr">
        <is>
          <t>Revenue</t>
        </is>
      </c>
      <c r="B5" s="14">
        <f>'2 Customers'!$E$15*'15 Roll-out'!B7</f>
        <v/>
      </c>
      <c r="C5" s="14">
        <f>'2 Customers'!$E$15*'15 Roll-out'!C7</f>
        <v/>
      </c>
      <c r="D5" s="14">
        <f>'2 Customers'!$E$15*'15 Roll-out'!D7</f>
        <v/>
      </c>
      <c r="E5" s="14">
        <f>'2 Customers'!$E$15*'15 Roll-out'!E7</f>
        <v/>
      </c>
      <c r="F5" s="14">
        <f>'2 Customers'!$E$15*'15 Roll-out'!F7</f>
        <v/>
      </c>
      <c r="G5" s="14">
        <f>SUM(B5:F5)</f>
        <v/>
      </c>
    </row>
    <row r="6">
      <c r="A6" t="inlineStr">
        <is>
          <t>Cost of sales</t>
        </is>
      </c>
      <c r="B6" s="14">
        <f>-'2 Customers'!$G$15*'15 Roll-out'!B7</f>
        <v/>
      </c>
      <c r="C6" s="14">
        <f>-'2 Customers'!$G$15*'15 Roll-out'!C7</f>
        <v/>
      </c>
      <c r="D6" s="14">
        <f>-'2 Customers'!$G$15*'15 Roll-out'!D7</f>
        <v/>
      </c>
      <c r="E6" s="14">
        <f>-'2 Customers'!$G$15*'15 Roll-out'!E7</f>
        <v/>
      </c>
      <c r="F6" s="14">
        <f>-'2 Customers'!$G$15*'15 Roll-out'!F7</f>
        <v/>
      </c>
      <c r="G6" s="14">
        <f>SUM(B6:F6)</f>
        <v/>
      </c>
    </row>
    <row r="7">
      <c r="A7" s="3" t="inlineStr">
        <is>
          <t>Gross profit</t>
        </is>
      </c>
      <c r="B7" s="16">
        <f>B5+B6</f>
        <v/>
      </c>
      <c r="C7" s="16">
        <f>C5+C6</f>
        <v/>
      </c>
      <c r="D7" s="16">
        <f>D5+D6</f>
        <v/>
      </c>
      <c r="E7" s="16">
        <f>E5+E6</f>
        <v/>
      </c>
      <c r="F7" s="16">
        <f>F5+F6</f>
        <v/>
      </c>
      <c r="G7" s="16">
        <f>SUM(B7:F7)</f>
        <v/>
      </c>
    </row>
    <row r="8">
      <c r="A8" t="inlineStr">
        <is>
          <t>Staff — operating units</t>
        </is>
      </c>
      <c r="B8" s="14">
        <f>-'3 HR'!$F$20*12*'15 Roll-out'!B5</f>
        <v/>
      </c>
      <c r="C8" s="14">
        <f>-'3 HR'!$F$20*12*'15 Roll-out'!C5</f>
        <v/>
      </c>
      <c r="D8" s="14">
        <f>-'3 HR'!$F$20*12*'15 Roll-out'!D5</f>
        <v/>
      </c>
      <c r="E8" s="14">
        <f>-'3 HR'!$F$20*12*'15 Roll-out'!E5</f>
        <v/>
      </c>
      <c r="F8" s="14">
        <f>-'3 HR'!$F$20*12*'15 Roll-out'!F5</f>
        <v/>
      </c>
      <c r="G8" s="14">
        <f>SUM(B8:F8)</f>
        <v/>
      </c>
    </row>
    <row r="9">
      <c r="A9" t="inlineStr">
        <is>
          <t>Staff — head office</t>
        </is>
      </c>
      <c r="B9" s="14">
        <f>-'3 HR'!$D$27*12*'15 Roll-out'!B8</f>
        <v/>
      </c>
      <c r="C9" s="14">
        <f>-'3 HR'!$D$27*12*'15 Roll-out'!C8</f>
        <v/>
      </c>
      <c r="D9" s="14">
        <f>-'3 HR'!$D$27*12*'15 Roll-out'!D8</f>
        <v/>
      </c>
      <c r="E9" s="14">
        <f>-'3 HR'!$D$27*12*'15 Roll-out'!E8</f>
        <v/>
      </c>
      <c r="F9" s="14">
        <f>-'3 HR'!$D$27*12*'15 Roll-out'!F8</f>
        <v/>
      </c>
      <c r="G9" s="14">
        <f>SUM(B9:F9)</f>
        <v/>
      </c>
    </row>
    <row r="10">
      <c r="A10" t="inlineStr">
        <is>
          <t>Running costs — operating units</t>
        </is>
      </c>
      <c r="B10" s="14">
        <f>-('5 Running'!$E$11*12*'15 Roll-out'!B5+'5 Running'!$E$12*'15 Roll-out'!B7)</f>
        <v/>
      </c>
      <c r="C10" s="14">
        <f>-('5 Running'!$E$11*12*'15 Roll-out'!C5+'5 Running'!$E$12*'15 Roll-out'!C7)</f>
        <v/>
      </c>
      <c r="D10" s="14">
        <f>-('5 Running'!$E$11*12*'15 Roll-out'!D5+'5 Running'!$E$12*'15 Roll-out'!D7)</f>
        <v/>
      </c>
      <c r="E10" s="14">
        <f>-('5 Running'!$E$11*12*'15 Roll-out'!E5+'5 Running'!$E$12*'15 Roll-out'!E7)</f>
        <v/>
      </c>
      <c r="F10" s="14">
        <f>-('5 Running'!$E$11*12*'15 Roll-out'!F5+'5 Running'!$E$12*'15 Roll-out'!F7)</f>
        <v/>
      </c>
      <c r="G10" s="14">
        <f>SUM(B10:F10)</f>
        <v/>
      </c>
    </row>
    <row r="11">
      <c r="A11" t="inlineStr">
        <is>
          <t>Running costs — head office</t>
        </is>
      </c>
      <c r="B11" s="14">
        <f>-'5 Running'!$E$20*12*'15 Roll-out'!B8</f>
        <v/>
      </c>
      <c r="C11" s="14">
        <f>-'5 Running'!$E$20*12*'15 Roll-out'!C8</f>
        <v/>
      </c>
      <c r="D11" s="14">
        <f>-'5 Running'!$E$20*12*'15 Roll-out'!D8</f>
        <v/>
      </c>
      <c r="E11" s="14">
        <f>-'5 Running'!$E$20*12*'15 Roll-out'!E8</f>
        <v/>
      </c>
      <c r="F11" s="14">
        <f>-'5 Running'!$E$20*12*'15 Roll-out'!F8</f>
        <v/>
      </c>
      <c r="G11" s="14">
        <f>SUM(B11:F11)</f>
        <v/>
      </c>
    </row>
    <row r="12">
      <c r="A12" t="inlineStr">
        <is>
          <t>Start-up costs of new units</t>
        </is>
      </c>
      <c r="B12" s="14">
        <f>-'6 Start-up'!$B$5*'15 Roll-out'!B6</f>
        <v/>
      </c>
      <c r="C12" s="14">
        <f>-'6 Start-up'!$B$5*'15 Roll-out'!C6</f>
        <v/>
      </c>
      <c r="D12" s="14">
        <f>-'6 Start-up'!$B$5*'15 Roll-out'!D6</f>
        <v/>
      </c>
      <c r="E12" s="14">
        <f>-'6 Start-up'!$B$5*'15 Roll-out'!E6</f>
        <v/>
      </c>
      <c r="F12" s="14">
        <f>-'6 Start-up'!$B$5*'15 Roll-out'!F6</f>
        <v/>
      </c>
      <c r="G12" s="14">
        <f>SUM(B12:F12)</f>
        <v/>
      </c>
    </row>
    <row r="13">
      <c r="A13" t="inlineStr">
        <is>
          <t>Head-office development</t>
        </is>
      </c>
      <c r="B13" s="14">
        <f>-'6 Start-up'!$B$21</f>
        <v/>
      </c>
      <c r="C13" s="14">
        <f>0</f>
        <v/>
      </c>
      <c r="D13" s="14">
        <f>0</f>
        <v/>
      </c>
      <c r="E13" s="14">
        <f>0</f>
        <v/>
      </c>
      <c r="F13" s="14">
        <f>0</f>
        <v/>
      </c>
      <c r="G13" s="14">
        <f>SUM(B13:F13)</f>
        <v/>
      </c>
    </row>
    <row r="14">
      <c r="A14" t="inlineStr">
        <is>
          <t>Depreciation</t>
        </is>
      </c>
      <c r="B14" s="14">
        <f>-'15 Roll-out'!B27</f>
        <v/>
      </c>
      <c r="C14" s="14">
        <f>-'15 Roll-out'!C27</f>
        <v/>
      </c>
      <c r="D14" s="14">
        <f>-'15 Roll-out'!D27</f>
        <v/>
      </c>
      <c r="E14" s="14">
        <f>-'15 Roll-out'!E27</f>
        <v/>
      </c>
      <c r="F14" s="14">
        <f>-'15 Roll-out'!F27</f>
        <v/>
      </c>
      <c r="G14" s="14">
        <f>SUM(B14:F14)</f>
        <v/>
      </c>
    </row>
    <row r="15">
      <c r="A15" s="3" t="inlineStr">
        <is>
          <t>Operating profit</t>
        </is>
      </c>
      <c r="B15" s="16">
        <f>B7+SUM(B8:B14)</f>
        <v/>
      </c>
      <c r="C15" s="16">
        <f>C7+SUM(C8:C14)</f>
        <v/>
      </c>
      <c r="D15" s="16">
        <f>D7+SUM(D8:D14)</f>
        <v/>
      </c>
      <c r="E15" s="16">
        <f>E7+SUM(E8:E14)</f>
        <v/>
      </c>
      <c r="F15" s="16">
        <f>F7+SUM(F8:F14)</f>
        <v/>
      </c>
      <c r="G15" s="16">
        <f>SUM(B15:F15)</f>
        <v/>
      </c>
    </row>
    <row r="16">
      <c r="A16" t="inlineStr">
        <is>
          <t>Loan interest</t>
        </is>
      </c>
      <c r="B16" s="14">
        <f>-'15 Roll-out'!B21</f>
        <v/>
      </c>
      <c r="C16" s="14">
        <f>-'15 Roll-out'!C21</f>
        <v/>
      </c>
      <c r="D16" s="14">
        <f>-'15 Roll-out'!D21</f>
        <v/>
      </c>
      <c r="E16" s="14">
        <f>-'15 Roll-out'!E21</f>
        <v/>
      </c>
      <c r="F16" s="14">
        <f>-'15 Roll-out'!F21</f>
        <v/>
      </c>
      <c r="G16" s="14">
        <f>SUM(B16:F16)</f>
        <v/>
      </c>
    </row>
    <row r="17">
      <c r="A17" s="3" t="inlineStr">
        <is>
          <t>Profit before tax</t>
        </is>
      </c>
      <c r="B17" s="16">
        <f>B15+B16</f>
        <v/>
      </c>
      <c r="C17" s="16">
        <f>C15+C16</f>
        <v/>
      </c>
      <c r="D17" s="16">
        <f>D15+D16</f>
        <v/>
      </c>
      <c r="E17" s="16">
        <f>E15+E16</f>
        <v/>
      </c>
      <c r="F17" s="16">
        <f>F15+F16</f>
        <v/>
      </c>
      <c r="G17" s="16">
        <f>SUM(B17:F17)</f>
        <v/>
      </c>
    </row>
    <row r="18">
      <c r="A18" t="inlineStr">
        <is>
          <t>Losses brought forward</t>
        </is>
      </c>
      <c r="B18" s="14">
        <f>0</f>
        <v/>
      </c>
      <c r="C18" s="14">
        <f>B21</f>
        <v/>
      </c>
      <c r="D18" s="14">
        <f>C21</f>
        <v/>
      </c>
      <c r="E18" s="14">
        <f>D21</f>
        <v/>
      </c>
      <c r="F18" s="14">
        <f>E21</f>
        <v/>
      </c>
    </row>
    <row r="19">
      <c r="A19" t="inlineStr">
        <is>
          <t>Taxable profit = profit before tax less losses brought forward, not below zero</t>
        </is>
      </c>
      <c r="B19" s="14">
        <f>MAX(0,B17-B18)</f>
        <v/>
      </c>
      <c r="C19" s="14">
        <f>MAX(0,C17-C18)</f>
        <v/>
      </c>
      <c r="D19" s="14">
        <f>MAX(0,D17-D18)</f>
        <v/>
      </c>
      <c r="E19" s="14">
        <f>MAX(0,E17-E18)</f>
        <v/>
      </c>
      <c r="F19" s="14">
        <f>MAX(0,F17-F18)</f>
        <v/>
      </c>
    </row>
    <row r="20">
      <c r="A20" t="inlineStr">
        <is>
          <t>Tax</t>
        </is>
      </c>
      <c r="B20" s="14">
        <f>-B19*'1 Master'!$B$43</f>
        <v/>
      </c>
      <c r="C20" s="14">
        <f>-C19*'1 Master'!$B$43</f>
        <v/>
      </c>
      <c r="D20" s="14">
        <f>-D19*'1 Master'!$B$43</f>
        <v/>
      </c>
      <c r="E20" s="14">
        <f>-E19*'1 Master'!$B$43</f>
        <v/>
      </c>
      <c r="F20" s="14">
        <f>-F19*'1 Master'!$B$43</f>
        <v/>
      </c>
      <c r="G20" s="14">
        <f>SUM(B20:F20)</f>
        <v/>
      </c>
    </row>
    <row r="21">
      <c r="A21" t="inlineStr">
        <is>
          <t>Losses carried forward</t>
        </is>
      </c>
      <c r="B21" s="14">
        <f>MAX(0,B18-MAX(0,B17))+MAX(0,-B17)</f>
        <v/>
      </c>
      <c r="C21" s="14">
        <f>MAX(0,C18-MAX(0,C17))+MAX(0,-C17)</f>
        <v/>
      </c>
      <c r="D21" s="14">
        <f>MAX(0,D18-MAX(0,D17))+MAX(0,-D17)</f>
        <v/>
      </c>
      <c r="E21" s="14">
        <f>MAX(0,E18-MAX(0,E17))+MAX(0,-E17)</f>
        <v/>
      </c>
      <c r="F21" s="14">
        <f>MAX(0,F18-MAX(0,F17))+MAX(0,-F17)</f>
        <v/>
      </c>
    </row>
    <row r="22">
      <c r="A22" s="3" t="inlineStr">
        <is>
          <t>Profit after tax</t>
        </is>
      </c>
      <c r="B22" s="16">
        <f>B17+B20</f>
        <v/>
      </c>
      <c r="C22" s="16">
        <f>C17+C20</f>
        <v/>
      </c>
      <c r="D22" s="16">
        <f>D17+D20</f>
        <v/>
      </c>
      <c r="E22" s="16">
        <f>E17+E20</f>
        <v/>
      </c>
      <c r="F22" s="16">
        <f>F17+F20</f>
        <v/>
      </c>
      <c r="G22" s="16">
        <f>SUM(B22:F22)</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Forecast cash flow — years one to 5</t>
        </is>
      </c>
    </row>
    <row r="2">
      <c r="A2" s="2" t="inlineStr">
        <is>
          <t>Tax is paid the year after it is charged. Year one closes at the same balance as tab 14. Outflows are negative.</t>
        </is>
      </c>
    </row>
    <row r="4">
      <c r="A4" s="5" t="inlineStr">
        <is>
          <t>Line</t>
        </is>
      </c>
      <c r="B4" s="5" t="inlineStr">
        <is>
          <t>Year 1</t>
        </is>
      </c>
      <c r="C4" s="5" t="inlineStr">
        <is>
          <t>Year 2</t>
        </is>
      </c>
      <c r="D4" s="5" t="inlineStr">
        <is>
          <t>Year 3</t>
        </is>
      </c>
      <c r="E4" s="5" t="inlineStr">
        <is>
          <t>Year 4</t>
        </is>
      </c>
      <c r="F4" s="5" t="inlineStr">
        <is>
          <t>Year 5</t>
        </is>
      </c>
      <c r="G4" s="5" t="inlineStr">
        <is>
          <t>Total</t>
        </is>
      </c>
    </row>
    <row r="5">
      <c r="A5" t="inlineStr">
        <is>
          <t>Operating profit</t>
        </is>
      </c>
      <c r="B5" s="14">
        <f>'16 Forecast P&amp;L'!B15</f>
        <v/>
      </c>
      <c r="C5" s="14">
        <f>'16 Forecast P&amp;L'!C15</f>
        <v/>
      </c>
      <c r="D5" s="14">
        <f>'16 Forecast P&amp;L'!D15</f>
        <v/>
      </c>
      <c r="E5" s="14">
        <f>'16 Forecast P&amp;L'!E15</f>
        <v/>
      </c>
      <c r="F5" s="14">
        <f>'16 Forecast P&amp;L'!F15</f>
        <v/>
      </c>
      <c r="G5" s="14">
        <f>SUM(B5:F5)</f>
        <v/>
      </c>
    </row>
    <row r="6">
      <c r="A6" t="inlineStr">
        <is>
          <t>Add back depreciation</t>
        </is>
      </c>
      <c r="B6" s="14">
        <f>-'16 Forecast P&amp;L'!B14</f>
        <v/>
      </c>
      <c r="C6" s="14">
        <f>-'16 Forecast P&amp;L'!C14</f>
        <v/>
      </c>
      <c r="D6" s="14">
        <f>-'16 Forecast P&amp;L'!D14</f>
        <v/>
      </c>
      <c r="E6" s="14">
        <f>-'16 Forecast P&amp;L'!E14</f>
        <v/>
      </c>
      <c r="F6" s="14">
        <f>-'16 Forecast P&amp;L'!F14</f>
        <v/>
      </c>
      <c r="G6" s="14">
        <f>SUM(B6:F6)</f>
        <v/>
      </c>
    </row>
    <row r="7">
      <c r="A7" t="inlineStr">
        <is>
          <t>Loan interest paid</t>
        </is>
      </c>
      <c r="B7" s="14">
        <f>'16 Forecast P&amp;L'!B16</f>
        <v/>
      </c>
      <c r="C7" s="14">
        <f>'16 Forecast P&amp;L'!C16</f>
        <v/>
      </c>
      <c r="D7" s="14">
        <f>'16 Forecast P&amp;L'!D16</f>
        <v/>
      </c>
      <c r="E7" s="14">
        <f>'16 Forecast P&amp;L'!E16</f>
        <v/>
      </c>
      <c r="F7" s="14">
        <f>'16 Forecast P&amp;L'!F16</f>
        <v/>
      </c>
      <c r="G7" s="14">
        <f>SUM(B7:F7)</f>
        <v/>
      </c>
    </row>
    <row r="8">
      <c r="A8" t="inlineStr">
        <is>
          <t>Tax paid (the previous year's charge)</t>
        </is>
      </c>
      <c r="B8" s="14">
        <f>0</f>
        <v/>
      </c>
      <c r="C8" s="14">
        <f>'16 Forecast P&amp;L'!B20</f>
        <v/>
      </c>
      <c r="D8" s="14">
        <f>'16 Forecast P&amp;L'!C20</f>
        <v/>
      </c>
      <c r="E8" s="14">
        <f>'16 Forecast P&amp;L'!D20</f>
        <v/>
      </c>
      <c r="F8" s="14">
        <f>'16 Forecast P&amp;L'!E20</f>
        <v/>
      </c>
      <c r="G8" s="14">
        <f>SUM(B8:F8)</f>
        <v/>
      </c>
    </row>
    <row r="9">
      <c r="A9" s="3" t="inlineStr">
        <is>
          <t>Cash from operations</t>
        </is>
      </c>
      <c r="B9" s="14">
        <f>SUM(B5:B8)</f>
        <v/>
      </c>
      <c r="C9" s="14">
        <f>SUM(C5:C8)</f>
        <v/>
      </c>
      <c r="D9" s="14">
        <f>SUM(D5:D8)</f>
        <v/>
      </c>
      <c r="E9" s="14">
        <f>SUM(E5:E8)</f>
        <v/>
      </c>
      <c r="F9" s="14">
        <f>SUM(F5:F8)</f>
        <v/>
      </c>
      <c r="G9" s="14">
        <f>SUM(B9:F9)</f>
        <v/>
      </c>
    </row>
    <row r="10">
      <c r="A10" t="inlineStr">
        <is>
          <t>Capital spend on new units and head office</t>
        </is>
      </c>
      <c r="B10" s="14">
        <f>-'15 Roll-out'!B23</f>
        <v/>
      </c>
      <c r="C10" s="14">
        <f>-'15 Roll-out'!C23</f>
        <v/>
      </c>
      <c r="D10" s="14">
        <f>-'15 Roll-out'!D23</f>
        <v/>
      </c>
      <c r="E10" s="14">
        <f>-'15 Roll-out'!E23</f>
        <v/>
      </c>
      <c r="F10" s="14">
        <f>-'15 Roll-out'!F23</f>
        <v/>
      </c>
      <c r="G10" s="14">
        <f>SUM(B10:F10)</f>
        <v/>
      </c>
    </row>
    <row r="11">
      <c r="A11" t="inlineStr">
        <is>
          <t>Replacement of assets</t>
        </is>
      </c>
      <c r="B11" s="14">
        <f>-('15 Roll-out'!B24+'15 Roll-out'!B25)</f>
        <v/>
      </c>
      <c r="C11" s="14">
        <f>-('15 Roll-out'!C24+'15 Roll-out'!C25)</f>
        <v/>
      </c>
      <c r="D11" s="14">
        <f>-('15 Roll-out'!D24+'15 Roll-out'!D25)</f>
        <v/>
      </c>
      <c r="E11" s="14">
        <f>-('15 Roll-out'!E24+'15 Roll-out'!E25)</f>
        <v/>
      </c>
      <c r="F11" s="14">
        <f>-('15 Roll-out'!F24+'15 Roll-out'!F25)</f>
        <v/>
      </c>
      <c r="G11" s="14">
        <f>SUM(B11:F11)</f>
        <v/>
      </c>
    </row>
    <row r="12">
      <c r="A12" t="inlineStr">
        <is>
          <t>Increase in loans to customers</t>
        </is>
      </c>
      <c r="B12" s="14">
        <f>-'15 Roll-out'!B12</f>
        <v/>
      </c>
      <c r="C12" s="14">
        <f>-'15 Roll-out'!C12</f>
        <v/>
      </c>
      <c r="D12" s="14">
        <f>-'15 Roll-out'!D12</f>
        <v/>
      </c>
      <c r="E12" s="14">
        <f>-'15 Roll-out'!E12</f>
        <v/>
      </c>
      <c r="F12" s="14">
        <f>-'15 Roll-out'!F12</f>
        <v/>
      </c>
      <c r="G12" s="14">
        <f>SUM(B12:F12)</f>
        <v/>
      </c>
    </row>
    <row r="13">
      <c r="A13" s="3" t="inlineStr">
        <is>
          <t>Cash used in investing</t>
        </is>
      </c>
      <c r="B13" s="14">
        <f>SUM(B10:B12)</f>
        <v/>
      </c>
      <c r="C13" s="14">
        <f>SUM(C10:C12)</f>
        <v/>
      </c>
      <c r="D13" s="14">
        <f>SUM(D10:D12)</f>
        <v/>
      </c>
      <c r="E13" s="14">
        <f>SUM(E10:E12)</f>
        <v/>
      </c>
      <c r="F13" s="14">
        <f>SUM(F10:F12)</f>
        <v/>
      </c>
      <c r="G13" s="14">
        <f>SUM(B13:F13)</f>
        <v/>
      </c>
    </row>
    <row r="14">
      <c r="A14" t="inlineStr">
        <is>
          <t>Loan drawn</t>
        </is>
      </c>
      <c r="B14" s="14">
        <f>'15 Roll-out'!B16</f>
        <v/>
      </c>
      <c r="C14" s="14">
        <f>'15 Roll-out'!C16</f>
        <v/>
      </c>
      <c r="D14" s="14">
        <f>'15 Roll-out'!D16</f>
        <v/>
      </c>
      <c r="E14" s="14">
        <f>'15 Roll-out'!E16</f>
        <v/>
      </c>
      <c r="F14" s="14">
        <f>'15 Roll-out'!F16</f>
        <v/>
      </c>
      <c r="G14" s="14">
        <f>SUM(B14:F14)</f>
        <v/>
      </c>
    </row>
    <row r="15">
      <c r="A15" t="inlineStr">
        <is>
          <t>Loan principal repaid</t>
        </is>
      </c>
      <c r="B15" s="14">
        <f>-'15 Roll-out'!B20</f>
        <v/>
      </c>
      <c r="C15" s="14">
        <f>-'15 Roll-out'!C20</f>
        <v/>
      </c>
      <c r="D15" s="14">
        <f>-'15 Roll-out'!D20</f>
        <v/>
      </c>
      <c r="E15" s="14">
        <f>-'15 Roll-out'!E20</f>
        <v/>
      </c>
      <c r="F15" s="14">
        <f>-'15 Roll-out'!F20</f>
        <v/>
      </c>
      <c r="G15" s="14">
        <f>SUM(B15:F15)</f>
        <v/>
      </c>
    </row>
    <row r="16">
      <c r="A16" t="inlineStr">
        <is>
          <t>Equity raised</t>
        </is>
      </c>
      <c r="B16" s="14">
        <f>'15 Roll-out'!B9</f>
        <v/>
      </c>
      <c r="C16" s="14">
        <f>'15 Roll-out'!C9</f>
        <v/>
      </c>
      <c r="D16" s="14">
        <f>'15 Roll-out'!D9</f>
        <v/>
      </c>
      <c r="E16" s="14">
        <f>'15 Roll-out'!E9</f>
        <v/>
      </c>
      <c r="F16" s="14">
        <f>'15 Roll-out'!F9</f>
        <v/>
      </c>
      <c r="G16" s="14">
        <f>SUM(B16:F16)</f>
        <v/>
      </c>
    </row>
    <row r="17">
      <c r="A17" t="inlineStr">
        <is>
          <t>Deposits taken to fund the book</t>
        </is>
      </c>
      <c r="B17" s="14">
        <f>'15 Roll-out'!B12*(1-'1 Master'!$B$47)</f>
        <v/>
      </c>
      <c r="C17" s="14">
        <f>'15 Roll-out'!C12*(1-'1 Master'!$B$47)</f>
        <v/>
      </c>
      <c r="D17" s="14">
        <f>'15 Roll-out'!D12*(1-'1 Master'!$B$47)</f>
        <v/>
      </c>
      <c r="E17" s="14">
        <f>'15 Roll-out'!E12*(1-'1 Master'!$B$47)</f>
        <v/>
      </c>
      <c r="F17" s="14">
        <f>'15 Roll-out'!F12*(1-'1 Master'!$B$47)</f>
        <v/>
      </c>
      <c r="G17" s="14">
        <f>SUM(B17:F17)</f>
        <v/>
      </c>
    </row>
    <row r="18">
      <c r="A18" t="inlineStr">
        <is>
          <t>Capital allocated to the book</t>
        </is>
      </c>
      <c r="B18" s="14">
        <f>'15 Roll-out'!B12*'1 Master'!$B$47</f>
        <v/>
      </c>
      <c r="C18" s="14">
        <f>'15 Roll-out'!C12*'1 Master'!$B$47</f>
        <v/>
      </c>
      <c r="D18" s="14">
        <f>'15 Roll-out'!D12*'1 Master'!$B$47</f>
        <v/>
      </c>
      <c r="E18" s="14">
        <f>'15 Roll-out'!E12*'1 Master'!$B$47</f>
        <v/>
      </c>
      <c r="F18" s="14">
        <f>'15 Roll-out'!F12*'1 Master'!$B$47</f>
        <v/>
      </c>
      <c r="G18" s="14">
        <f>SUM(B18:F18)</f>
        <v/>
      </c>
    </row>
    <row r="19">
      <c r="A19" s="3" t="inlineStr">
        <is>
          <t>Cash from financing</t>
        </is>
      </c>
      <c r="B19" s="14">
        <f>SUM(B14:B18)</f>
        <v/>
      </c>
      <c r="C19" s="14">
        <f>SUM(C14:C18)</f>
        <v/>
      </c>
      <c r="D19" s="14">
        <f>SUM(D14:D18)</f>
        <v/>
      </c>
      <c r="E19" s="14">
        <f>SUM(E14:E18)</f>
        <v/>
      </c>
      <c r="F19" s="14">
        <f>SUM(F14:F18)</f>
        <v/>
      </c>
      <c r="G19" s="14">
        <f>SUM(B19:F19)</f>
        <v/>
      </c>
    </row>
    <row r="20">
      <c r="A20" s="3" t="inlineStr">
        <is>
          <t>Net cash flow</t>
        </is>
      </c>
      <c r="B20" s="14">
        <f>B9+B13+B19</f>
        <v/>
      </c>
      <c r="C20" s="14">
        <f>C9+C13+C19</f>
        <v/>
      </c>
      <c r="D20" s="14">
        <f>D9+D13+D19</f>
        <v/>
      </c>
      <c r="E20" s="14">
        <f>E9+E13+E19</f>
        <v/>
      </c>
      <c r="F20" s="14">
        <f>F9+F13+F19</f>
        <v/>
      </c>
      <c r="G20" s="14">
        <f>SUM(B20:F20)</f>
        <v/>
      </c>
    </row>
    <row r="21">
      <c r="A21" t="inlineStr">
        <is>
          <t>Opening cash</t>
        </is>
      </c>
      <c r="B21" s="14">
        <f>'1 Master'!$B$50</f>
        <v/>
      </c>
      <c r="C21" s="14">
        <f>B22</f>
        <v/>
      </c>
      <c r="D21" s="14">
        <f>C22</f>
        <v/>
      </c>
      <c r="E21" s="14">
        <f>D22</f>
        <v/>
      </c>
      <c r="F21" s="14">
        <f>E22</f>
        <v/>
      </c>
    </row>
    <row r="22">
      <c r="A22" s="3" t="inlineStr">
        <is>
          <t>Closing cash</t>
        </is>
      </c>
      <c r="B22" s="14">
        <f>B21+B20</f>
        <v/>
      </c>
      <c r="C22" s="14">
        <f>C21+C20</f>
        <v/>
      </c>
      <c r="D22" s="14">
        <f>D21+D20</f>
        <v/>
      </c>
      <c r="E22" s="14">
        <f>E21+E20</f>
        <v/>
      </c>
      <c r="F22" s="14">
        <f>F21+F20</f>
        <v/>
      </c>
    </row>
    <row r="24">
      <c r="A24" s="3" t="inlineStr">
        <is>
          <t>Lowest closing cash across the forecast</t>
        </is>
      </c>
      <c r="B24" s="14">
        <f>MIN(B22:F22)</f>
        <v/>
      </c>
    </row>
    <row r="25">
      <c r="A25" s="3" t="inlineStr">
        <is>
          <t>Extra funding needed over the forecast = −(lowest closing cash) if negative, else zero</t>
        </is>
      </c>
      <c r="B25" s="14">
        <f>MAX(0,-B24)</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s>
  <sheetData>
    <row r="1">
      <c r="A1" s="1" t="inlineStr">
        <is>
          <t>Forecast balance sheet — at the end of years one to 5</t>
        </is>
      </c>
    </row>
    <row r="2">
      <c r="A2" s="2" t="inlineStr">
        <is>
          <t>No debtors, creditors or stock; the loan book is carried at its balance outstanding, funded by deposits and the capital held against it. Net assets must equal total equity in every year (last row reads zero).</t>
        </is>
      </c>
    </row>
    <row r="4">
      <c r="A4" s="5" t="inlineStr">
        <is>
          <t>Line</t>
        </is>
      </c>
      <c r="B4" s="5" t="inlineStr">
        <is>
          <t>Year 1</t>
        </is>
      </c>
      <c r="C4" s="5" t="inlineStr">
        <is>
          <t>Year 2</t>
        </is>
      </c>
      <c r="D4" s="5" t="inlineStr">
        <is>
          <t>Year 3</t>
        </is>
      </c>
      <c r="E4" s="5" t="inlineStr">
        <is>
          <t>Year 4</t>
        </is>
      </c>
      <c r="F4" s="5" t="inlineStr">
        <is>
          <t>Year 5</t>
        </is>
      </c>
    </row>
    <row r="5">
      <c r="A5" t="inlineStr">
        <is>
          <t>Fixed assets, net book value</t>
        </is>
      </c>
      <c r="B5" s="14">
        <f>'15 Roll-out'!B28</f>
        <v/>
      </c>
      <c r="C5" s="14">
        <f>'15 Roll-out'!C28</f>
        <v/>
      </c>
      <c r="D5" s="14">
        <f>'15 Roll-out'!D28</f>
        <v/>
      </c>
      <c r="E5" s="14">
        <f>'15 Roll-out'!E28</f>
        <v/>
      </c>
      <c r="F5" s="14">
        <f>'15 Roll-out'!F28</f>
        <v/>
      </c>
    </row>
    <row r="6">
      <c r="A6" t="inlineStr">
        <is>
          <t>Cash</t>
        </is>
      </c>
      <c r="B6" s="14">
        <f>'17 Forecast cash flow'!B22</f>
        <v/>
      </c>
      <c r="C6" s="14">
        <f>'17 Forecast cash flow'!C22</f>
        <v/>
      </c>
      <c r="D6" s="14">
        <f>'17 Forecast cash flow'!D22</f>
        <v/>
      </c>
      <c r="E6" s="14">
        <f>'17 Forecast cash flow'!E22</f>
        <v/>
      </c>
      <c r="F6" s="14">
        <f>'17 Forecast cash flow'!F22</f>
        <v/>
      </c>
    </row>
    <row r="7">
      <c r="A7" t="inlineStr">
        <is>
          <t>Loans to customers</t>
        </is>
      </c>
      <c r="B7" s="14">
        <f>'15 Roll-out'!B11</f>
        <v/>
      </c>
      <c r="C7" s="14">
        <f>'15 Roll-out'!C11</f>
        <v/>
      </c>
      <c r="D7" s="14">
        <f>'15 Roll-out'!D11</f>
        <v/>
      </c>
      <c r="E7" s="14">
        <f>'15 Roll-out'!E11</f>
        <v/>
      </c>
      <c r="F7" s="14">
        <f>'15 Roll-out'!F11</f>
        <v/>
      </c>
    </row>
    <row r="8">
      <c r="A8" s="3" t="inlineStr">
        <is>
          <t>Total assets</t>
        </is>
      </c>
      <c r="B8" s="14">
        <f>SUM(B5:B7)</f>
        <v/>
      </c>
      <c r="C8" s="14">
        <f>SUM(C5:C7)</f>
        <v/>
      </c>
      <c r="D8" s="14">
        <f>SUM(D5:D7)</f>
        <v/>
      </c>
      <c r="E8" s="14">
        <f>SUM(E5:E7)</f>
        <v/>
      </c>
      <c r="F8" s="14">
        <f>SUM(F5:F7)</f>
        <v/>
      </c>
    </row>
    <row r="9">
      <c r="A9" t="inlineStr">
        <is>
          <t>Loan outstanding</t>
        </is>
      </c>
      <c r="B9" s="14">
        <f>'15 Roll-out'!B18</f>
        <v/>
      </c>
      <c r="C9" s="14">
        <f>'15 Roll-out'!C18</f>
        <v/>
      </c>
      <c r="D9" s="14">
        <f>'15 Roll-out'!D18</f>
        <v/>
      </c>
      <c r="E9" s="14">
        <f>'15 Roll-out'!E18</f>
        <v/>
      </c>
      <c r="F9" s="14">
        <f>'15 Roll-out'!F18</f>
        <v/>
      </c>
    </row>
    <row r="10">
      <c r="A10" t="inlineStr">
        <is>
          <t>Tax payable</t>
        </is>
      </c>
      <c r="B10" s="14">
        <f>-'16 Forecast P&amp;L'!B20</f>
        <v/>
      </c>
      <c r="C10" s="14">
        <f>-'16 Forecast P&amp;L'!C20</f>
        <v/>
      </c>
      <c r="D10" s="14">
        <f>-'16 Forecast P&amp;L'!D20</f>
        <v/>
      </c>
      <c r="E10" s="14">
        <f>-'16 Forecast P&amp;L'!E20</f>
        <v/>
      </c>
      <c r="F10" s="14">
        <f>-'16 Forecast P&amp;L'!F20</f>
        <v/>
      </c>
    </row>
    <row r="11">
      <c r="A11" t="inlineStr">
        <is>
          <t>Deposits funding the book</t>
        </is>
      </c>
      <c r="B11" s="14">
        <f>'15 Roll-out'!B13</f>
        <v/>
      </c>
      <c r="C11" s="14">
        <f>'15 Roll-out'!C13</f>
        <v/>
      </c>
      <c r="D11" s="14">
        <f>'15 Roll-out'!D13</f>
        <v/>
      </c>
      <c r="E11" s="14">
        <f>'15 Roll-out'!E13</f>
        <v/>
      </c>
      <c r="F11" s="14">
        <f>'15 Roll-out'!F13</f>
        <v/>
      </c>
    </row>
    <row r="12">
      <c r="A12" s="3" t="inlineStr">
        <is>
          <t>Total liabilities</t>
        </is>
      </c>
      <c r="B12" s="14">
        <f>SUM(B9:B11)</f>
        <v/>
      </c>
      <c r="C12" s="14">
        <f>SUM(C9:C11)</f>
        <v/>
      </c>
      <c r="D12" s="14">
        <f>SUM(D9:D11)</f>
        <v/>
      </c>
      <c r="E12" s="14">
        <f>SUM(E9:E11)</f>
        <v/>
      </c>
      <c r="F12" s="14">
        <f>SUM(F9:F11)</f>
        <v/>
      </c>
    </row>
    <row r="13">
      <c r="A13" s="3" t="inlineStr">
        <is>
          <t>Net assets</t>
        </is>
      </c>
      <c r="B13" s="14">
        <f>B8-B12</f>
        <v/>
      </c>
      <c r="C13" s="14">
        <f>C8-C12</f>
        <v/>
      </c>
      <c r="D13" s="14">
        <f>D8-D12</f>
        <v/>
      </c>
      <c r="E13" s="14">
        <f>E8-E12</f>
        <v/>
      </c>
      <c r="F13" s="14">
        <f>F8-F12</f>
        <v/>
      </c>
    </row>
    <row r="14">
      <c r="A14" t="inlineStr"/>
    </row>
    <row r="15">
      <c r="A15" t="inlineStr">
        <is>
          <t>Share capital — equity raised to date</t>
        </is>
      </c>
      <c r="B15" s="14">
        <f>SUM('15 Roll-out'!$B$9:B9)</f>
        <v/>
      </c>
      <c r="C15" s="14">
        <f>SUM('15 Roll-out'!$B$9:C9)</f>
        <v/>
      </c>
      <c r="D15" s="14">
        <f>SUM('15 Roll-out'!$B$9:D9)</f>
        <v/>
      </c>
      <c r="E15" s="14">
        <f>SUM('15 Roll-out'!$B$9:E9)</f>
        <v/>
      </c>
      <c r="F15" s="14">
        <f>SUM('15 Roll-out'!$B$9:F9)</f>
        <v/>
      </c>
    </row>
    <row r="16">
      <c r="A16" t="inlineStr">
        <is>
          <t>Retained profit — profit after tax to date</t>
        </is>
      </c>
      <c r="B16" s="14">
        <f>SUM('16 Forecast P&amp;L'!$B$22:B22)</f>
        <v/>
      </c>
      <c r="C16" s="14">
        <f>SUM('16 Forecast P&amp;L'!$B$22:C22)</f>
        <v/>
      </c>
      <c r="D16" s="14">
        <f>SUM('16 Forecast P&amp;L'!$B$22:D22)</f>
        <v/>
      </c>
      <c r="E16" s="14">
        <f>SUM('16 Forecast P&amp;L'!$B$22:E22)</f>
        <v/>
      </c>
      <c r="F16" s="14">
        <f>SUM('16 Forecast P&amp;L'!$B$22:F22)</f>
        <v/>
      </c>
    </row>
    <row r="17">
      <c r="A17" t="inlineStr">
        <is>
          <t>Capital held against the book</t>
        </is>
      </c>
      <c r="B17" s="14">
        <f>'15 Roll-out'!B14</f>
        <v/>
      </c>
      <c r="C17" s="14">
        <f>'15 Roll-out'!C14</f>
        <v/>
      </c>
      <c r="D17" s="14">
        <f>'15 Roll-out'!D14</f>
        <v/>
      </c>
      <c r="E17" s="14">
        <f>'15 Roll-out'!E14</f>
        <v/>
      </c>
      <c r="F17" s="14">
        <f>'15 Roll-out'!F14</f>
        <v/>
      </c>
    </row>
    <row r="18">
      <c r="A18" s="3" t="inlineStr">
        <is>
          <t>Total equity</t>
        </is>
      </c>
      <c r="B18" s="14">
        <f>SUM(B15:B17)</f>
        <v/>
      </c>
      <c r="C18" s="14">
        <f>SUM(C15:C17)</f>
        <v/>
      </c>
      <c r="D18" s="14">
        <f>SUM(D15:D17)</f>
        <v/>
      </c>
      <c r="E18" s="14">
        <f>SUM(E15:E17)</f>
        <v/>
      </c>
      <c r="F18" s="14">
        <f>SUM(F15:F17)</f>
        <v/>
      </c>
    </row>
    <row r="19">
      <c r="A19" t="inlineStr">
        <is>
          <t>Net assets less total equity (must be zero)</t>
        </is>
      </c>
      <c r="B19" s="14">
        <f>B13-B18</f>
        <v/>
      </c>
      <c r="C19" s="14">
        <f>C13-C18</f>
        <v/>
      </c>
      <c r="D19" s="14">
        <f>D13-D18</f>
        <v/>
      </c>
      <c r="E19" s="14">
        <f>E13-E18</f>
        <v/>
      </c>
      <c r="F19" s="14">
        <f>F13-F18</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70" customWidth="1" min="1" max="1"/>
    <col width="18" customWidth="1" min="2" max="2"/>
    <col width="18" customWidth="1" min="3" max="3"/>
    <col width="12" customWidth="1" min="4" max="4"/>
  </cols>
  <sheetData>
    <row r="1">
      <c r="A1" s="1" t="inlineStr">
        <is>
          <t>Check — the headline figures recomputed a second way, and the forecast reconciled</t>
        </is>
      </c>
    </row>
    <row r="2">
      <c r="A2" s="2" t="inlineStr">
        <is>
          <t>Every row must read PASS. If one reads FAIL the workbook has been edited in a way that broke it.</t>
        </is>
      </c>
    </row>
    <row r="4">
      <c r="A4" s="5" t="inlineStr">
        <is>
          <t>Check</t>
        </is>
      </c>
      <c r="B4" s="5" t="inlineStr">
        <is>
          <t>First value</t>
        </is>
      </c>
      <c r="C4" s="5" t="inlineStr">
        <is>
          <t>Second value</t>
        </is>
      </c>
      <c r="D4" s="5" t="inlineStr">
        <is>
          <t>Result</t>
        </is>
      </c>
    </row>
    <row r="5">
      <c r="A5" t="inlineStr">
        <is>
          <t>Margin of safety on the pricing tab equals surplus ÷ whole cost on the unit P&amp;L</t>
        </is>
      </c>
      <c r="B5" s="23">
        <f>'10 Pricing'!$B$6</f>
        <v/>
      </c>
      <c r="C5" s="23">
        <f>'11 Unit P&amp;L'!$B$18</f>
        <v/>
      </c>
      <c r="D5">
        <f>IF(ABS(B5-C5)&lt;0.00001,"PASS","FAIL")</f>
        <v/>
      </c>
    </row>
    <row r="6">
      <c r="A6" t="inlineStr">
        <is>
          <t>At the required price, surplus ÷ whole cost equals the target margin of safety</t>
        </is>
      </c>
      <c r="B6" s="23">
        <f>'1 Master'!$B$45</f>
        <v/>
      </c>
      <c r="C6" s="23">
        <f>'11 Unit P&amp;L'!$C$18</f>
        <v/>
      </c>
      <c r="D6">
        <f>IF(ABS(B6-C6)&lt;0.00001,"PASS","FAIL")</f>
        <v/>
      </c>
    </row>
    <row r="7">
      <c r="A7" t="inlineStr">
        <is>
          <t>Venture surplus equals units × unit surplus</t>
        </is>
      </c>
      <c r="B7" s="23">
        <f>'12 Venture P&amp;L'!$D$20</f>
        <v/>
      </c>
      <c r="C7" s="23">
        <f>'12 Venture P&amp;L'!$D$22</f>
        <v/>
      </c>
      <c r="D7">
        <f>IF(ABS(B7-C7)&lt;0.00001,"PASS","FAIL")</f>
        <v/>
      </c>
    </row>
    <row r="8">
      <c r="A8" t="inlineStr">
        <is>
          <t>Cash chain: closing month twelve = opening month one + sum of net cash flows</t>
        </is>
      </c>
      <c r="B8" s="23">
        <f>'14 Cash flow'!M26</f>
        <v/>
      </c>
      <c r="C8" s="23">
        <f>'14 Cash flow'!B25+SUM('14 Cash flow'!B24:M24)</f>
        <v/>
      </c>
      <c r="D8">
        <f>IF(ABS(B8-C8)&lt;0.00001,"PASS","FAIL")</f>
        <v/>
      </c>
    </row>
    <row r="9">
      <c r="A9" t="inlineStr">
        <is>
          <t>Year-one volume equals units open × steady-state transactions × sum of the ramp</t>
        </is>
      </c>
      <c r="B9" s="23">
        <f>'13 Sales'!N14</f>
        <v/>
      </c>
      <c r="C9" s="23">
        <f>'1 Master'!$B$48*'2 Customers'!$B$10*SUM('13 Sales'!B5:M5)</f>
        <v/>
      </c>
      <c r="D9">
        <f>IF(ABS(B9-C9)&lt;0.00001,"PASS","FAIL")</f>
        <v/>
      </c>
    </row>
    <row r="10">
      <c r="A10" t="inlineStr">
        <is>
          <t>Whole cost per unit equals unit's own costs + head office allocation</t>
        </is>
      </c>
      <c r="B10" s="23">
        <f>'9 Unit costs'!$B$17</f>
        <v/>
      </c>
      <c r="C10" s="23">
        <f>'9 Unit costs'!$B$12+'9 Unit costs'!$B$16</f>
        <v/>
      </c>
      <c r="D10">
        <f>IF(ABS(B10-C10)&lt;0.00001,"PASS","FAIL")</f>
        <v/>
      </c>
    </row>
    <row r="11">
      <c r="A11" t="inlineStr">
        <is>
          <t>Margin of safety on the pricing tab equals the builder's own computation (base scenario only)</t>
        </is>
      </c>
      <c r="B11" s="23">
        <f>'10 Pricing'!$B$6</f>
        <v/>
      </c>
      <c r="C11" s="23">
        <f>'10 Pricing'!$B$56</f>
        <v/>
      </c>
      <c r="D11">
        <f>IF('1 Master'!$B$4&lt;&gt;1,"n/a",IF(ABS(B11-C11)&lt;0.00001,"PASS","FAIL"))</f>
        <v/>
      </c>
    </row>
    <row r="12">
      <c r="A12" t="inlineStr">
        <is>
          <t>Forecast year one opens the same number of units as the twelve-month forecast</t>
        </is>
      </c>
      <c r="B12" s="23">
        <f>'15 Roll-out'!B5</f>
        <v/>
      </c>
      <c r="C12" s="23">
        <f>'1 Master'!$B$48</f>
        <v/>
      </c>
      <c r="D12">
        <f>IF(ABS(B12-C12)&lt;0.00001,"PASS","FAIL")</f>
        <v/>
      </c>
    </row>
    <row r="13">
      <c r="A13" t="inlineStr">
        <is>
          <t>Forecast year-one closing cash equals month twelve on the twelve-month forecast</t>
        </is>
      </c>
      <c r="B13" s="23">
        <f>'17 Forecast cash flow'!B22</f>
        <v/>
      </c>
      <c r="C13" s="23">
        <f>'14 Cash flow'!M26</f>
        <v/>
      </c>
      <c r="D13">
        <f>IF(ABS(B13-C13)&lt;0.00001,"PASS","FAIL")</f>
        <v/>
      </c>
    </row>
    <row r="14">
      <c r="A14" t="inlineStr">
        <is>
          <t>Balance sheet balances in every forecast year — largest difference is zero</t>
        </is>
      </c>
      <c r="B14" s="23">
        <f>MAX('18 Forecast balance sheet'!B19:F19)</f>
        <v/>
      </c>
      <c r="C14" s="23">
        <f>0</f>
        <v/>
      </c>
      <c r="D14">
        <f>IF(ABS(B14-C14)&lt;0.00001,"PASS","FAIL")</f>
        <v/>
      </c>
    </row>
    <row r="15">
      <c r="A15" t="inlineStr">
        <is>
          <t>Balance sheet balances in every forecast year — smallest difference is zero</t>
        </is>
      </c>
      <c r="B15" s="23">
        <f>MIN('18 Forecast balance sheet'!B19:F19)</f>
        <v/>
      </c>
      <c r="C15" s="23">
        <f>0</f>
        <v/>
      </c>
      <c r="D15">
        <f>IF(ABS(B15-C15)&lt;0.00001,"PASS","FAIL")</f>
        <v/>
      </c>
    </row>
    <row r="17">
      <c r="A17" s="3" t="inlineStr">
        <is>
          <t>All checks</t>
        </is>
      </c>
      <c r="D17" s="3">
        <f>IF(COUNTIF(D5:D15,"FAIL")=0,"ALL CHECKS PASS","CHECK FAILED")</f>
        <v/>
      </c>
    </row>
    <row r="18">
      <c r="A18" t="inlineStr">
        <is>
          <t>Scenario in force on tab 1 (1 = base)</t>
        </is>
      </c>
      <c r="D18">
        <f>'1 Master'!$B$4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2026-09-22T10:22:47Z</dcterms:created>
  <dcterms:modified xmlns:dcterms="http://purl.org/dc/terms/" xmlns:xsi="http://www.w3.org/2001/XMLSchema-instance" xsi:type="dcterms:W3CDTF">2026-09-22T10:22:47Z</dcterms:modified>
</cp:coreProperties>
</file>